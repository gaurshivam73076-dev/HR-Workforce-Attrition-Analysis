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e294294f5c1c35c5/Desktop/"/>
    </mc:Choice>
  </mc:AlternateContent>
  <xr:revisionPtr revIDLastSave="0" documentId="8_{743DBE23-7BA0-4F02-8405-821399C813BB}" xr6:coauthVersionLast="47" xr6:coauthVersionMax="47" xr10:uidLastSave="{00000000-0000-0000-0000-000000000000}"/>
  <bookViews>
    <workbookView xWindow="-108" yWindow="-108" windowWidth="23256" windowHeight="12456" xr2:uid="{33575D1C-419A-424E-BD67-EDBABD1B8962}"/>
  </bookViews>
  <sheets>
    <sheet name="ANALYSIS&amp;CALCULATION" sheetId="1" r:id="rId1"/>
    <sheet name="DASHBOARD " sheetId="2" r:id="rId2"/>
  </sheets>
  <definedNames>
    <definedName name="Slicer_BusinessTravel">#N/A</definedName>
    <definedName name="Slicer_Gender">#N/A</definedName>
    <definedName name="Slicer_MaritalStatus">#N/A</definedName>
  </definedNames>
  <calcPr calcId="191029"/>
  <pivotCaches>
    <pivotCache cacheId="176" r:id="rId3"/>
    <pivotCache cacheId="179" r:id="rId4"/>
    <pivotCache cacheId="182" r:id="rId5"/>
    <pivotCache cacheId="185" r:id="rId6"/>
    <pivotCache cacheId="188"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UseC_-HR-Employee-Attrition_8016fa38-4a94-4931-bf9c-f51a6e7e98e5" name="WA_Fn-UseC_-HR-Employee-Attrition" connection="Query - WA_Fn-UseC_-HR-Employee-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 i="1" l="1"/>
  <c r="D6" i="1"/>
  <c r="C6" i="1"/>
  <c r="B6" i="1"/>
  <c r="A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89DD82-3AB1-4195-B003-0FB7FA79A897}" name="Query - WA_Fn-UseC_-HR-Employee-Attrition" description="Connection to the 'WA_Fn-UseC_-HR-Employee-Attrition' query in the workbook." type="100" refreshedVersion="8" minRefreshableVersion="5">
    <extLst>
      <ext xmlns:x15="http://schemas.microsoft.com/office/spreadsheetml/2010/11/main" uri="{DE250136-89BD-433C-8126-D09CA5730AF9}">
        <x15:connection id="30a0f869-d8d5-4499-a454-1ceb2c591970"/>
      </ext>
    </extLst>
  </connection>
  <connection id="2" xr16:uid="{ED3464CD-9F01-46D9-BC8C-3A8D7BA3A8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<sst xmlns="http://schemas.openxmlformats.org/spreadsheetml/2006/main" count="36" uniqueCount="31">
  <si>
    <t>total employee</t>
  </si>
  <si>
    <t>current head count</t>
  </si>
  <si>
    <t>avg monthly income</t>
  </si>
  <si>
    <t>Human Resources</t>
  </si>
  <si>
    <t>Research &amp; Development</t>
  </si>
  <si>
    <t>Sales</t>
  </si>
  <si>
    <t>Grand Total</t>
  </si>
  <si>
    <t>10k-15k</t>
  </si>
  <si>
    <t>15k&amp;Above</t>
  </si>
  <si>
    <t>5k or Below</t>
  </si>
  <si>
    <t>5k-10k</t>
  </si>
  <si>
    <t>25-34</t>
  </si>
  <si>
    <t>35-44</t>
  </si>
  <si>
    <t>45-54</t>
  </si>
  <si>
    <t>55 &amp; Above</t>
  </si>
  <si>
    <t>under 25</t>
  </si>
  <si>
    <t>No</t>
  </si>
  <si>
    <t>Yes</t>
  </si>
  <si>
    <t>Attrition  %</t>
  </si>
  <si>
    <t>Department</t>
  </si>
  <si>
    <t>Total Attrition</t>
  </si>
  <si>
    <t>Salary Slab</t>
  </si>
  <si>
    <t>Age Group</t>
  </si>
  <si>
    <t xml:space="preserve">Overtime </t>
  </si>
  <si>
    <t>Total  Attrition</t>
  </si>
  <si>
    <t>Total attrition</t>
  </si>
  <si>
    <t>KPI's</t>
  </si>
  <si>
    <t>Department Wise Attrition</t>
  </si>
  <si>
    <t>Salary wise attrition</t>
  </si>
  <si>
    <t>Age wise Attrition</t>
  </si>
  <si>
    <t>Over Time Wise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</si>
</sst>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6" formatCode="[$$-409]#,##0"/>
    <numFmt numFmtId="168" formatCode="\$\ #,#00"/>
  </numFmts>
  <fonts count="5" x14ac:knownFonts="1">
    <font>
      <sz val="11"/>
      <color theme="1"/>
      <name val="Aptos Narrow"/>
      <family val="2"/>
      <scheme val="minor"/>
    </font>
    <font>
      <sz val="11"/>
      <color theme="1"/>
      <name val="Aptos Narrow"/>
      <family val="2"/>
      <scheme val="minor"/>
    </font>
    <font>
      <sz val="20"/>
      <color theme="1"/>
      <name val="Aptos Narrow"/>
      <family val="2"/>
      <scheme val="minor"/>
    </font>
    <font>
      <sz val="18"/>
      <color theme="1"/>
      <name val="Aptos Narrow"/>
      <family val="2"/>
      <scheme val="minor"/>
    </font>
    <font>
      <sz val="16"/>
      <color theme="1"/>
      <name val="Aptos Narrow"/>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2" tint="-9.9978637043366805E-2"/>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6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0" fontId="0" fillId="0" borderId="0" xfId="0" applyNumberFormat="1"/>
    <xf numFmtId="0" fontId="0" fillId="0" borderId="0" xfId="0" applyAlignment="1">
      <alignment horizontal="center" vertical="center" wrapText="1"/>
    </xf>
    <xf numFmtId="166" fontId="0" fillId="0" borderId="0" xfId="0" applyNumberFormat="1"/>
    <xf numFmtId="168" fontId="0" fillId="0" borderId="0" xfId="0" applyNumberFormat="1"/>
    <xf numFmtId="0" fontId="0" fillId="0" borderId="1" xfId="0" applyBorder="1"/>
    <xf numFmtId="0" fontId="0" fillId="0" borderId="1" xfId="0" applyBorder="1" applyAlignment="1">
      <alignment horizontal="left"/>
    </xf>
    <xf numFmtId="0" fontId="0" fillId="0" borderId="1" xfId="0" applyNumberFormat="1" applyBorder="1"/>
    <xf numFmtId="0" fontId="2" fillId="0" borderId="0" xfId="0" applyFont="1" applyAlignment="1"/>
    <xf numFmtId="0" fontId="0" fillId="0" borderId="0" xfId="0" applyBorder="1"/>
    <xf numFmtId="0" fontId="2"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0" fillId="3" borderId="0" xfId="0" applyFill="1"/>
  </cellXfs>
  <cellStyles count="2">
    <cellStyle name="Normal" xfId="0" builtinId="0"/>
    <cellStyle name="Percent" xfId="1" builtinId="5"/>
  </cellStyles>
  <dxfs count="5">
    <dxf>
      <numFmt numFmtId="166" formatCode="[$$-409]#,##0"/>
    </dxf>
    <dxf>
      <alignment horizontal="center"/>
    </dxf>
    <dxf>
      <alignment vertical="center"/>
    </dxf>
    <dxf>
      <alignment wrapText="1"/>
    </dxf>
    <dxf>
      <font>
        <color theme="2" tint="-0.749961851863155"/>
      </font>
      <fill>
        <patternFill patternType="solid">
          <bgColor rgb="FFF4F5F7"/>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3" xr9:uid="{E3B30827-BEB8-4C38-B1C8-5EB9C9EA9EE6}">
      <tableStyleElement type="wholeTable" dxfId="4"/>
    </tableStyle>
  </tableStyles>
  <colors>
    <mruColors>
      <color rgb="FFF4F5F7"/>
      <color rgb="FF1F4E79"/>
      <color rgb="FFFFFFFF"/>
      <color rgb="FFF2F4F7"/>
    </mruColors>
  </colors>
  <extLst>
    <ext xmlns:x14="http://schemas.microsoft.com/office/spreadsheetml/2009/9/main" uri="{46F421CA-312F-682f-3DD2-61675219B42D}">
      <x14:dxfs count="2">
        <dxf>
          <fill>
            <patternFill>
              <bgColor rgb="FFFFFFFF"/>
            </patternFill>
          </fill>
        </dxf>
        <dxf>
          <font>
            <color rgb="FFFFFFFF"/>
          </font>
          <fill>
            <patternFill>
              <bgColor rgb="FF1F4E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ARRETTION FILE.xlsx]ANALYSIS&amp;CALCULATION!PivotTable2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'ANALYSIS&amp;CALCULATION'!$H$3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'ANALYSIS&amp;CALCULATION'!$G$4:$G$7</c:f>
              <c:strCache>
                <c:ptCount val="3"/>
                <c:pt idx="0">
                  <c:v>Human Resources</c:v>
                </c:pt>
                <c:pt idx="1">
                  <c:v>Research &amp; Development</c:v>
                </c:pt>
                <c:pt idx="2">
                  <c:v>Sales</c:v>
                </c:pt>
              </c:strCache>
            </c:strRef>
          </c:cat>
          <c:val>
            <c:numRef>
              <c:f>'ANALYSIS&amp;CALCULATION'!$H$4:$H$7</c:f>
              <c:numCache>
                <c:formatCode>General</c:formatCode>
                <c:ptCount val="3"/>
                <c:pt idx="0">
                  <c:v>12</c:v>
                </c:pt>
                <c:pt idx="1">
                  <c:v>133</c:v>
                </c:pt>
                <c:pt idx="2">
                  <c:v>92</c:v>
                </c:pt>
              </c:numCache>
            </c:numRef>
          </c:val>
          <c:extLst>
            <c:ext xmlns:c16="http://schemas.microsoft.com/office/drawing/2014/chart" uri="{C3380CC4-5D6E-409C-BE32-E72D297353CC}">
              <c16:uniqueId val="{00000000-AB38-4DB4-867C-CB07015AAC99}"/>
            </c:ext>
          </c:extLst>
        </c:ser>
        <c:dLbls>
          <c:dLblPos val="outEnd"/>
          <c:showLegendKey val="0"/>
          <c:showVal val="1"/>
          <c:showCatName val="0"/>
          <c:showSerName val="0"/>
          <c:showPercent val="0"/>
          <c:showBubbleSize val="0"/>
        </c:dLbls>
        <c:gapWidth val="182"/>
        <c:axId val="95879535"/>
        <c:axId val="95880015"/>
      </c:barChart>
      <c:catAx>
        <c:axId val="9587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
                <a:ea typeface="+mn-ea"/>
                <a:cs typeface="Segoe UI Semibold" panose="020B0702040204020203" pitchFamily="34" charset="0"/>
              </a:defRPr>
            </a:pPr>
            <a:endParaRPr lang="en-US"/>
          </a:p>
        </c:txPr>
        <c:crossAx val="95880015"/>
        <c:crosses val="autoZero"/>
        <c:auto val="1"/>
        <c:lblAlgn val="ctr"/>
        <c:lblOffset val="100"/>
        <c:noMultiLvlLbl val="0"/>
      </c:catAx>
      <c:valAx>
        <c:axId val="9588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587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ARRETTION FILE.xlsx]ANALYSIS&amp;CALCULATION!PivotTable3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'ANALYSIS&amp;CALCULATION'!$B$13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'ANALYSIS&amp;CALCULATION'!$A$14:$A$18</c:f>
              <c:strCache>
                <c:ptCount val="4"/>
                <c:pt idx="0">
                  <c:v>10k-15k</c:v>
                </c:pt>
                <c:pt idx="1">
                  <c:v>15k&amp;Above</c:v>
                </c:pt>
                <c:pt idx="2">
                  <c:v>5k or Below</c:v>
                </c:pt>
                <c:pt idx="3">
                  <c:v>5k-10k</c:v>
                </c:pt>
              </c:strCache>
            </c:strRef>
          </c:cat>
          <c:val>
            <c:numRef>
              <c:f>'ANALYSIS&amp;CALCULATION'!$B$14:$B$18</c:f>
              <c:numCache>
                <c:formatCode>General</c:formatCode>
                <c:ptCount val="4"/>
                <c:pt idx="0">
                  <c:v>20</c:v>
                </c:pt>
                <c:pt idx="1">
                  <c:v>5</c:v>
                </c:pt>
                <c:pt idx="2">
                  <c:v>163</c:v>
                </c:pt>
                <c:pt idx="3">
                  <c:v>49</c:v>
                </c:pt>
              </c:numCache>
            </c:numRef>
          </c:val>
          <c:extLst>
            <c:ext xmlns:c16="http://schemas.microsoft.com/office/drawing/2014/chart" uri="{C3380CC4-5D6E-409C-BE32-E72D297353CC}">
              <c16:uniqueId val="{00000000-B96A-4F2F-8371-ADA693D32200}"/>
            </c:ext>
          </c:extLst>
        </c:ser>
        <c:dLbls>
          <c:showLegendKey val="0"/>
          <c:showVal val="0"/>
          <c:showCatName val="0"/>
          <c:showSerName val="0"/>
          <c:showPercent val="0"/>
          <c:showBubbleSize val="0"/>
        </c:dLbls>
        <c:gapWidth val="219"/>
        <c:overlap val="-27"/>
        <c:axId val="633615743"/>
        <c:axId val="633616703"/>
      </c:barChart>
      <c:catAx>
        <c:axId val="63361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16703"/>
        <c:crosses val="autoZero"/>
        <c:auto val="1"/>
        <c:lblAlgn val="ctr"/>
        <c:lblOffset val="100"/>
        <c:noMultiLvlLbl val="0"/>
      </c:catAx>
      <c:valAx>
        <c:axId val="633616703"/>
        <c:scaling>
          <c:orientation val="minMax"/>
          <c:max val="165"/>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1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ARRETTION FILE.xlsx]ANALYSIS&amp;CALCULATION!PivotTable5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60884203722444"/>
          <c:y val="0.19541194947190063"/>
          <c:w val="0.40699676001709367"/>
          <c:h val="0.75891135203826776"/>
        </c:manualLayout>
      </c:layout>
      <c:doughnutChart>
        <c:varyColors val="1"/>
        <c:ser>
          <c:idx val="0"/>
          <c:order val="0"/>
          <c:tx>
            <c:strRef>
              <c:f>'ANALYSIS&amp;CALCULATION'!$H$13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44-4B4B-8F74-7C30893E38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44-4B4B-8F74-7C30893E386D}"/>
              </c:ext>
            </c:extLst>
          </c:dPt>
          <c:cat>
            <c:strRef>
              <c:f>'ANALYSIS&amp;CALCULATION'!$G$14:$G$16</c:f>
              <c:strCache>
                <c:ptCount val="2"/>
                <c:pt idx="0">
                  <c:v>No</c:v>
                </c:pt>
                <c:pt idx="1">
                  <c:v>Yes</c:v>
                </c:pt>
              </c:strCache>
            </c:strRef>
          </c:cat>
          <c:val>
            <c:numRef>
              <c:f>'ANALYSIS&amp;CALCULATION'!$H$14:$H$16</c:f>
              <c:numCache>
                <c:formatCode>General</c:formatCode>
                <c:ptCount val="2"/>
                <c:pt idx="0">
                  <c:v>110</c:v>
                </c:pt>
                <c:pt idx="1">
                  <c:v>127</c:v>
                </c:pt>
              </c:numCache>
            </c:numRef>
          </c:val>
          <c:extLst>
            <c:ext xmlns:c16="http://schemas.microsoft.com/office/drawing/2014/chart" uri="{C3380CC4-5D6E-409C-BE32-E72D297353CC}">
              <c16:uniqueId val="{00000004-9A44-4B4B-8F74-7C30893E386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37662454560300584"/>
          <c:y val="6.5977453374201259E-2"/>
          <c:w val="0.18687166127241017"/>
          <c:h val="0.1243593073766069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ARRETTION FILE.xlsx]ANALYSIS&amp;CALCULATION!PivotTable4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'ANALYSIS&amp;CALCULATION'!$E$13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'ANALYSIS&amp;CALCULATION'!$D$14:$D$19</c:f>
              <c:strCache>
                <c:ptCount val="5"/>
                <c:pt idx="0">
                  <c:v>25-34</c:v>
                </c:pt>
                <c:pt idx="1">
                  <c:v>35-44</c:v>
                </c:pt>
                <c:pt idx="2">
                  <c:v>45-54</c:v>
                </c:pt>
                <c:pt idx="3">
                  <c:v>55 &amp; Above</c:v>
                </c:pt>
                <c:pt idx="4">
                  <c:v>under 25</c:v>
                </c:pt>
              </c:strCache>
            </c:strRef>
          </c:cat>
          <c:val>
            <c:numRef>
              <c:f>'ANALYSIS&amp;CALCULATION'!$E$14:$E$19</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F741-4335-AEDF-792F76978E33}"/>
            </c:ext>
          </c:extLst>
        </c:ser>
        <c:dLbls>
          <c:dLblPos val="outEnd"/>
          <c:showLegendKey val="0"/>
          <c:showVal val="1"/>
          <c:showCatName val="0"/>
          <c:showSerName val="0"/>
          <c:showPercent val="0"/>
          <c:showBubbleSize val="0"/>
        </c:dLbls>
        <c:gapWidth val="182"/>
        <c:axId val="1482140976"/>
        <c:axId val="1482153936"/>
      </c:barChart>
      <c:catAx>
        <c:axId val="148214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153936"/>
        <c:crosses val="autoZero"/>
        <c:auto val="1"/>
        <c:lblAlgn val="ctr"/>
        <c:lblOffset val="100"/>
        <c:noMultiLvlLbl val="0"/>
      </c:catAx>
      <c:valAx>
        <c:axId val="148215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14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190500</xdr:colOff>
      <xdr:row>1</xdr:row>
      <xdr:rowOff>0</xdr:rowOff>
    </xdr:from>
    <xdr:to>
      <xdr:col>21</xdr:col>
      <xdr:colOff>53340</xdr:colOff>
      <xdr:row>50</xdr:row>
      <xdr:rowOff>150518</xdr:rowOff>
    </xdr:to>
    <xdr:sp macro="" textlink="">
      <xdr:nvSpPr>
        <xdr:cNvPr id="2" name="Rectangle: Rounded Corners 1">
          <a:extLst>
            <a:ext uri="{FF2B5EF4-FFF2-40B4-BE49-F238E27FC236}">
              <a16:creationId xmlns:a16="http://schemas.microsoft.com/office/drawing/2014/main" id="{022055A5-5050-FB59-9841-36A1E305A6E0}"/>
            </a:ext>
          </a:extLst>
        </xdr:cNvPr>
        <xdr:cNvSpPr/>
      </xdr:nvSpPr>
      <xdr:spPr>
        <a:xfrm>
          <a:off x="794349" y="345057"/>
          <a:ext cx="11939821" cy="9337650"/>
        </a:xfrm>
        <a:prstGeom prst="roundRect">
          <a:avLst>
            <a:gd name="adj" fmla="val 2711"/>
          </a:avLst>
        </a:prstGeom>
        <a:solidFill>
          <a:srgbClr val="F2F4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175408</xdr:colOff>
      <xdr:row>9</xdr:row>
      <xdr:rowOff>72440</xdr:rowOff>
    </xdr:from>
    <xdr:to>
      <xdr:col>7</xdr:col>
      <xdr:colOff>197556</xdr:colOff>
      <xdr:row>13</xdr:row>
      <xdr:rowOff>77476</xdr:rowOff>
    </xdr:to>
    <xdr:sp macro="" textlink="">
      <xdr:nvSpPr>
        <xdr:cNvPr id="3" name="Rectangle: Rounded Corners 2">
          <a:extLst>
            <a:ext uri="{FF2B5EF4-FFF2-40B4-BE49-F238E27FC236}">
              <a16:creationId xmlns:a16="http://schemas.microsoft.com/office/drawing/2014/main" id="{B4C75D71-9F8D-9362-99B1-5408BCCDFFC0}"/>
            </a:ext>
          </a:extLst>
        </xdr:cNvPr>
        <xdr:cNvSpPr/>
      </xdr:nvSpPr>
      <xdr:spPr>
        <a:xfrm>
          <a:off x="2623801" y="1946210"/>
          <a:ext cx="1858444" cy="75454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412045</xdr:colOff>
      <xdr:row>9</xdr:row>
      <xdr:rowOff>119475</xdr:rowOff>
    </xdr:from>
    <xdr:to>
      <xdr:col>11</xdr:col>
      <xdr:colOff>521601</xdr:colOff>
      <xdr:row>13</xdr:row>
      <xdr:rowOff>124511</xdr:rowOff>
    </xdr:to>
    <xdr:sp macro="" textlink="">
      <xdr:nvSpPr>
        <xdr:cNvPr id="4" name="Rectangle: Rounded Corners 3">
          <a:extLst>
            <a:ext uri="{FF2B5EF4-FFF2-40B4-BE49-F238E27FC236}">
              <a16:creationId xmlns:a16="http://schemas.microsoft.com/office/drawing/2014/main" id="{901E046D-0323-48C7-9871-CDC00A0AE9B0}"/>
            </a:ext>
          </a:extLst>
        </xdr:cNvPr>
        <xdr:cNvSpPr/>
      </xdr:nvSpPr>
      <xdr:spPr>
        <a:xfrm>
          <a:off x="5308832" y="1993245"/>
          <a:ext cx="1945851" cy="75454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80905</xdr:colOff>
      <xdr:row>9</xdr:row>
      <xdr:rowOff>119475</xdr:rowOff>
    </xdr:from>
    <xdr:to>
      <xdr:col>16</xdr:col>
      <xdr:colOff>190460</xdr:colOff>
      <xdr:row>13</xdr:row>
      <xdr:rowOff>124511</xdr:rowOff>
    </xdr:to>
    <xdr:sp macro="" textlink="">
      <xdr:nvSpPr>
        <xdr:cNvPr id="5" name="Rectangle: Rounded Corners 4">
          <a:extLst>
            <a:ext uri="{FF2B5EF4-FFF2-40B4-BE49-F238E27FC236}">
              <a16:creationId xmlns:a16="http://schemas.microsoft.com/office/drawing/2014/main" id="{1A4E13D7-39C6-4E96-80C9-A9122008FBD2}"/>
            </a:ext>
          </a:extLst>
        </xdr:cNvPr>
        <xdr:cNvSpPr/>
      </xdr:nvSpPr>
      <xdr:spPr>
        <a:xfrm>
          <a:off x="8038184" y="1993245"/>
          <a:ext cx="1945850" cy="75454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361245</xdr:colOff>
      <xdr:row>9</xdr:row>
      <xdr:rowOff>119475</xdr:rowOff>
    </xdr:from>
    <xdr:to>
      <xdr:col>20</xdr:col>
      <xdr:colOff>470800</xdr:colOff>
      <xdr:row>13</xdr:row>
      <xdr:rowOff>124511</xdr:rowOff>
    </xdr:to>
    <xdr:sp macro="" textlink="">
      <xdr:nvSpPr>
        <xdr:cNvPr id="6" name="Rectangle: Rounded Corners 5">
          <a:extLst>
            <a:ext uri="{FF2B5EF4-FFF2-40B4-BE49-F238E27FC236}">
              <a16:creationId xmlns:a16="http://schemas.microsoft.com/office/drawing/2014/main" id="{C541307C-BB50-402F-921B-3560D333362B}"/>
            </a:ext>
          </a:extLst>
        </xdr:cNvPr>
        <xdr:cNvSpPr/>
      </xdr:nvSpPr>
      <xdr:spPr>
        <a:xfrm>
          <a:off x="10766917" y="1993245"/>
          <a:ext cx="1945850" cy="75454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77141</xdr:colOff>
      <xdr:row>9</xdr:row>
      <xdr:rowOff>94073</xdr:rowOff>
    </xdr:from>
    <xdr:to>
      <xdr:col>6</xdr:col>
      <xdr:colOff>503208</xdr:colOff>
      <xdr:row>12</xdr:row>
      <xdr:rowOff>-1</xdr:rowOff>
    </xdr:to>
    <xdr:sp macro="" textlink="'ANALYSIS&amp;CALCULATION'!$A$6">
      <xdr:nvSpPr>
        <xdr:cNvPr id="7" name="Rectangle: Rounded Corners 6">
          <a:extLst>
            <a:ext uri="{FF2B5EF4-FFF2-40B4-BE49-F238E27FC236}">
              <a16:creationId xmlns:a16="http://schemas.microsoft.com/office/drawing/2014/main" id="{2930D8B8-6969-47B4-B547-06FEA4D537B9}"/>
            </a:ext>
          </a:extLst>
        </xdr:cNvPr>
        <xdr:cNvSpPr/>
      </xdr:nvSpPr>
      <xdr:spPr>
        <a:xfrm>
          <a:off x="3096386" y="1963130"/>
          <a:ext cx="1029916" cy="46664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52FAEB-41A7-4402-B1B9-1AB29ADB1287}" type="TxLink">
            <a:rPr lang="en-US" sz="2400" b="0" i="0" u="none" strike="noStrike">
              <a:solidFill>
                <a:srgbClr val="000000"/>
              </a:solidFill>
              <a:latin typeface="Segoe UI Semibold" panose="020B0702040204020203" pitchFamily="34" charset="0"/>
              <a:cs typeface="Segoe UI Semibold" panose="020B0702040204020203" pitchFamily="34" charset="0"/>
            </a:rPr>
            <a:pPr algn="ctr"/>
            <a:t>1470</a:t>
          </a:fld>
          <a:endParaRPr lang="en-IN" sz="2400">
            <a:latin typeface="Segoe UI Semibold" panose="020B0702040204020203" pitchFamily="34" charset="0"/>
            <a:cs typeface="Segoe UI Semibold" panose="020B0702040204020203" pitchFamily="34" charset="0"/>
          </a:endParaRPr>
        </a:p>
      </xdr:txBody>
    </xdr:sp>
    <xdr:clientData/>
  </xdr:twoCellAnchor>
  <xdr:twoCellAnchor>
    <xdr:from>
      <xdr:col>4</xdr:col>
      <xdr:colOff>171215</xdr:colOff>
      <xdr:row>11</xdr:row>
      <xdr:rowOff>71495</xdr:rowOff>
    </xdr:from>
    <xdr:to>
      <xdr:col>7</xdr:col>
      <xdr:colOff>280771</xdr:colOff>
      <xdr:row>14</xdr:row>
      <xdr:rowOff>335</xdr:rowOff>
    </xdr:to>
    <xdr:sp macro="" textlink="">
      <xdr:nvSpPr>
        <xdr:cNvPr id="8" name="Rectangle: Rounded Corners 7">
          <a:extLst>
            <a:ext uri="{FF2B5EF4-FFF2-40B4-BE49-F238E27FC236}">
              <a16:creationId xmlns:a16="http://schemas.microsoft.com/office/drawing/2014/main" id="{0C888FE8-A7B4-48AC-8B04-18CB7470876A}"/>
            </a:ext>
          </a:extLst>
        </xdr:cNvPr>
        <xdr:cNvSpPr/>
      </xdr:nvSpPr>
      <xdr:spPr>
        <a:xfrm>
          <a:off x="2619608" y="2320020"/>
          <a:ext cx="1945852" cy="4909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rgbClr val="002060"/>
              </a:solidFill>
            </a:rPr>
            <a:t>TOTAL</a:t>
          </a:r>
          <a:r>
            <a:rPr lang="en-IN" sz="1400" baseline="0">
              <a:solidFill>
                <a:srgbClr val="002060"/>
              </a:solidFill>
            </a:rPr>
            <a:t> EMPLOYEE</a:t>
          </a:r>
          <a:endParaRPr lang="en-IN" sz="1400">
            <a:solidFill>
              <a:srgbClr val="002060"/>
            </a:solidFill>
          </a:endParaRPr>
        </a:p>
      </xdr:txBody>
    </xdr:sp>
    <xdr:clientData/>
  </xdr:twoCellAnchor>
  <xdr:twoCellAnchor>
    <xdr:from>
      <xdr:col>18</xdr:col>
      <xdr:colOff>351837</xdr:colOff>
      <xdr:row>9</xdr:row>
      <xdr:rowOff>94074</xdr:rowOff>
    </xdr:from>
    <xdr:to>
      <xdr:col>19</xdr:col>
      <xdr:colOff>594550</xdr:colOff>
      <xdr:row>11</xdr:row>
      <xdr:rowOff>142051</xdr:rowOff>
    </xdr:to>
    <xdr:sp macro="" textlink="'ANALYSIS&amp;CALCULATION'!$D$6">
      <xdr:nvSpPr>
        <xdr:cNvPr id="10" name="Rectangle: Rounded Corners 9">
          <a:extLst>
            <a:ext uri="{FF2B5EF4-FFF2-40B4-BE49-F238E27FC236}">
              <a16:creationId xmlns:a16="http://schemas.microsoft.com/office/drawing/2014/main" id="{E44C4161-D63B-4DE5-B6E9-B8D732B06D1F}"/>
            </a:ext>
          </a:extLst>
        </xdr:cNvPr>
        <xdr:cNvSpPr/>
      </xdr:nvSpPr>
      <xdr:spPr>
        <a:xfrm>
          <a:off x="11369607" y="1967844"/>
          <a:ext cx="854812" cy="42273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E20202D-6559-43D8-97A8-8EE91A355A7A}" type="TxLink">
            <a:rPr lang="en-US" sz="24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1233</a:t>
          </a:fld>
          <a:endParaRPr lang="en-IN" sz="24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17</xdr:col>
      <xdr:colOff>389468</xdr:colOff>
      <xdr:row>11</xdr:row>
      <xdr:rowOff>71495</xdr:rowOff>
    </xdr:from>
    <xdr:to>
      <xdr:col>20</xdr:col>
      <xdr:colOff>499023</xdr:colOff>
      <xdr:row>14</xdr:row>
      <xdr:rowOff>335</xdr:rowOff>
    </xdr:to>
    <xdr:sp macro="" textlink="">
      <xdr:nvSpPr>
        <xdr:cNvPr id="11" name="Rectangle: Rounded Corners 10">
          <a:extLst>
            <a:ext uri="{FF2B5EF4-FFF2-40B4-BE49-F238E27FC236}">
              <a16:creationId xmlns:a16="http://schemas.microsoft.com/office/drawing/2014/main" id="{BFB5E175-9679-482E-8B9E-7FEAC4E3D0D1}"/>
            </a:ext>
          </a:extLst>
        </xdr:cNvPr>
        <xdr:cNvSpPr/>
      </xdr:nvSpPr>
      <xdr:spPr>
        <a:xfrm>
          <a:off x="10795140" y="2320020"/>
          <a:ext cx="1945850" cy="4909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rgbClr val="002060"/>
              </a:solidFill>
            </a:rPr>
            <a:t>CURRENT</a:t>
          </a:r>
          <a:r>
            <a:rPr lang="en-IN" sz="1400" baseline="0">
              <a:solidFill>
                <a:srgbClr val="002060"/>
              </a:solidFill>
            </a:rPr>
            <a:t> EMPLOYEE</a:t>
          </a:r>
          <a:endParaRPr lang="en-IN" sz="1400">
            <a:solidFill>
              <a:srgbClr val="002060"/>
            </a:solidFill>
          </a:endParaRPr>
        </a:p>
      </xdr:txBody>
    </xdr:sp>
    <xdr:clientData/>
  </xdr:twoCellAnchor>
  <xdr:twoCellAnchor>
    <xdr:from>
      <xdr:col>13</xdr:col>
      <xdr:colOff>459711</xdr:colOff>
      <xdr:row>9</xdr:row>
      <xdr:rowOff>94074</xdr:rowOff>
    </xdr:from>
    <xdr:to>
      <xdr:col>15</xdr:col>
      <xdr:colOff>403266</xdr:colOff>
      <xdr:row>11</xdr:row>
      <xdr:rowOff>142051</xdr:rowOff>
    </xdr:to>
    <xdr:sp macro="" textlink="'ANALYSIS&amp;CALCULATION'!$C$6">
      <xdr:nvSpPr>
        <xdr:cNvPr id="12" name="Rectangle: Rounded Corners 11">
          <a:extLst>
            <a:ext uri="{FF2B5EF4-FFF2-40B4-BE49-F238E27FC236}">
              <a16:creationId xmlns:a16="http://schemas.microsoft.com/office/drawing/2014/main" id="{B1031AF8-FDAD-40AC-AD60-0F17957FCFD3}"/>
            </a:ext>
          </a:extLst>
        </xdr:cNvPr>
        <xdr:cNvSpPr/>
      </xdr:nvSpPr>
      <xdr:spPr>
        <a:xfrm>
          <a:off x="8416990" y="1967844"/>
          <a:ext cx="1167751" cy="42273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F8633A-0090-4CE9-9F25-901938C68354}" type="TxLink">
            <a:rPr lang="en-US" sz="24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16.12%</a:t>
          </a:fld>
          <a:endParaRPr lang="en-IN" sz="24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122441</xdr:colOff>
      <xdr:row>11</xdr:row>
      <xdr:rowOff>71495</xdr:rowOff>
    </xdr:from>
    <xdr:to>
      <xdr:col>16</xdr:col>
      <xdr:colOff>220277</xdr:colOff>
      <xdr:row>14</xdr:row>
      <xdr:rowOff>335</xdr:rowOff>
    </xdr:to>
    <xdr:sp macro="" textlink="">
      <xdr:nvSpPr>
        <xdr:cNvPr id="13" name="Rectangle: Rounded Corners 12">
          <a:extLst>
            <a:ext uri="{FF2B5EF4-FFF2-40B4-BE49-F238E27FC236}">
              <a16:creationId xmlns:a16="http://schemas.microsoft.com/office/drawing/2014/main" id="{5B65B6A9-42A4-4389-AE27-2F8D7B2DED08}"/>
            </a:ext>
          </a:extLst>
        </xdr:cNvPr>
        <xdr:cNvSpPr/>
      </xdr:nvSpPr>
      <xdr:spPr>
        <a:xfrm>
          <a:off x="8079720" y="2320020"/>
          <a:ext cx="1934131" cy="4909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rgbClr val="002060"/>
              </a:solidFill>
            </a:rPr>
            <a:t>ARRETETION</a:t>
          </a:r>
          <a:r>
            <a:rPr lang="en-IN" sz="1400" baseline="0">
              <a:solidFill>
                <a:srgbClr val="002060"/>
              </a:solidFill>
            </a:rPr>
            <a:t> PERCENT</a:t>
          </a:r>
          <a:endParaRPr lang="en-IN" sz="1400">
            <a:solidFill>
              <a:srgbClr val="002060"/>
            </a:solidFill>
          </a:endParaRPr>
        </a:p>
      </xdr:txBody>
    </xdr:sp>
    <xdr:clientData/>
  </xdr:twoCellAnchor>
  <xdr:twoCellAnchor>
    <xdr:from>
      <xdr:col>9</xdr:col>
      <xdr:colOff>268426</xdr:colOff>
      <xdr:row>9</xdr:row>
      <xdr:rowOff>94074</xdr:rowOff>
    </xdr:from>
    <xdr:to>
      <xdr:col>10</xdr:col>
      <xdr:colOff>511138</xdr:colOff>
      <xdr:row>11</xdr:row>
      <xdr:rowOff>142051</xdr:rowOff>
    </xdr:to>
    <xdr:sp macro="" textlink="'ANALYSIS&amp;CALCULATION'!$B$6">
      <xdr:nvSpPr>
        <xdr:cNvPr id="14" name="Rectangle: Rounded Corners 13">
          <a:extLst>
            <a:ext uri="{FF2B5EF4-FFF2-40B4-BE49-F238E27FC236}">
              <a16:creationId xmlns:a16="http://schemas.microsoft.com/office/drawing/2014/main" id="{87832BB9-CE87-4273-9E31-42E185BB1D6C}"/>
            </a:ext>
          </a:extLst>
        </xdr:cNvPr>
        <xdr:cNvSpPr/>
      </xdr:nvSpPr>
      <xdr:spPr>
        <a:xfrm>
          <a:off x="5777311" y="1967844"/>
          <a:ext cx="854811" cy="42273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58C6DC-CCDC-4AB5-8BE8-ED1FD7CA4288}" type="TxLink">
            <a:rPr lang="en-US" sz="24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237</a:t>
          </a:fld>
          <a:endParaRPr lang="en-IN" sz="24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449961</xdr:colOff>
      <xdr:row>11</xdr:row>
      <xdr:rowOff>71495</xdr:rowOff>
    </xdr:from>
    <xdr:to>
      <xdr:col>11</xdr:col>
      <xdr:colOff>564732</xdr:colOff>
      <xdr:row>14</xdr:row>
      <xdr:rowOff>335</xdr:rowOff>
    </xdr:to>
    <xdr:sp macro="" textlink="">
      <xdr:nvSpPr>
        <xdr:cNvPr id="15" name="Rectangle: Rounded Corners 14">
          <a:extLst>
            <a:ext uri="{FF2B5EF4-FFF2-40B4-BE49-F238E27FC236}">
              <a16:creationId xmlns:a16="http://schemas.microsoft.com/office/drawing/2014/main" id="{0C81318D-5577-4E79-9868-97983804DCB7}"/>
            </a:ext>
          </a:extLst>
        </xdr:cNvPr>
        <xdr:cNvSpPr/>
      </xdr:nvSpPr>
      <xdr:spPr>
        <a:xfrm>
          <a:off x="5346748" y="2320020"/>
          <a:ext cx="1951066" cy="4909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rgbClr val="002060"/>
              </a:solidFill>
            </a:rPr>
            <a:t>TOTAL</a:t>
          </a:r>
          <a:r>
            <a:rPr lang="en-IN" sz="1400" baseline="0">
              <a:solidFill>
                <a:srgbClr val="002060"/>
              </a:solidFill>
            </a:rPr>
            <a:t> ARRETETION</a:t>
          </a:r>
          <a:endParaRPr lang="en-IN" sz="1400">
            <a:solidFill>
              <a:srgbClr val="002060"/>
            </a:solidFill>
          </a:endParaRPr>
        </a:p>
      </xdr:txBody>
    </xdr:sp>
    <xdr:clientData/>
  </xdr:twoCellAnchor>
  <xdr:twoCellAnchor>
    <xdr:from>
      <xdr:col>4</xdr:col>
      <xdr:colOff>112894</xdr:colOff>
      <xdr:row>15</xdr:row>
      <xdr:rowOff>28222</xdr:rowOff>
    </xdr:from>
    <xdr:to>
      <xdr:col>12</xdr:col>
      <xdr:colOff>261042</xdr:colOff>
      <xdr:row>32</xdr:row>
      <xdr:rowOff>112889</xdr:rowOff>
    </xdr:to>
    <xdr:sp macro="" textlink="">
      <xdr:nvSpPr>
        <xdr:cNvPr id="16" name="Rectangle: Rounded Corners 15">
          <a:extLst>
            <a:ext uri="{FF2B5EF4-FFF2-40B4-BE49-F238E27FC236}">
              <a16:creationId xmlns:a16="http://schemas.microsoft.com/office/drawing/2014/main" id="{0B0C0337-C071-7416-52CB-BFE24DAAB519}"/>
            </a:ext>
          </a:extLst>
        </xdr:cNvPr>
        <xdr:cNvSpPr/>
      </xdr:nvSpPr>
      <xdr:spPr>
        <a:xfrm>
          <a:off x="1335857" y="2888074"/>
          <a:ext cx="5040000" cy="3123259"/>
        </a:xfrm>
        <a:prstGeom prst="roundRect">
          <a:avLst>
            <a:gd name="adj" fmla="val 2812"/>
          </a:avLst>
        </a:prstGeom>
        <a:noFill/>
        <a:effectLst>
          <a:outerShdw blurRad="50800" dist="38100" dir="2700000" algn="tl" rotWithShape="0">
            <a:schemeClr val="tx1">
              <a:lumMod val="65000"/>
              <a:lumOff val="3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453435</xdr:colOff>
      <xdr:row>15</xdr:row>
      <xdr:rowOff>30107</xdr:rowOff>
    </xdr:from>
    <xdr:to>
      <xdr:col>20</xdr:col>
      <xdr:colOff>601583</xdr:colOff>
      <xdr:row>32</xdr:row>
      <xdr:rowOff>114774</xdr:rowOff>
    </xdr:to>
    <xdr:sp macro="" textlink="">
      <xdr:nvSpPr>
        <xdr:cNvPr id="17" name="Rectangle: Rounded Corners 16">
          <a:extLst>
            <a:ext uri="{FF2B5EF4-FFF2-40B4-BE49-F238E27FC236}">
              <a16:creationId xmlns:a16="http://schemas.microsoft.com/office/drawing/2014/main" id="{20FBA5F7-2A14-40CB-BE98-30D1A4671FCE}"/>
            </a:ext>
          </a:extLst>
        </xdr:cNvPr>
        <xdr:cNvSpPr/>
      </xdr:nvSpPr>
      <xdr:spPr>
        <a:xfrm>
          <a:off x="6568250" y="2889959"/>
          <a:ext cx="5040000" cy="3123259"/>
        </a:xfrm>
        <a:prstGeom prst="roundRect">
          <a:avLst>
            <a:gd name="adj" fmla="val 2812"/>
          </a:avLst>
        </a:prstGeom>
        <a:noFill/>
        <a:effectLst>
          <a:outerShdw blurRad="50800" dist="38100" dir="2700000" algn="tl" rotWithShape="0">
            <a:schemeClr val="tx1">
              <a:lumMod val="65000"/>
              <a:lumOff val="3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526815</xdr:colOff>
      <xdr:row>18</xdr:row>
      <xdr:rowOff>9407</xdr:rowOff>
    </xdr:from>
    <xdr:to>
      <xdr:col>20</xdr:col>
      <xdr:colOff>451554</xdr:colOff>
      <xdr:row>32</xdr:row>
      <xdr:rowOff>37630</xdr:rowOff>
    </xdr:to>
    <xdr:graphicFrame macro="">
      <xdr:nvGraphicFramePr>
        <xdr:cNvPr id="18" name="Chart 17">
          <a:extLst>
            <a:ext uri="{FF2B5EF4-FFF2-40B4-BE49-F238E27FC236}">
              <a16:creationId xmlns:a16="http://schemas.microsoft.com/office/drawing/2014/main" id="{3514720D-D60A-4373-8CBD-FF8AFCF11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178741</xdr:colOff>
      <xdr:row>18</xdr:row>
      <xdr:rowOff>47037</xdr:rowOff>
    </xdr:from>
    <xdr:to>
      <xdr:col>12</xdr:col>
      <xdr:colOff>169333</xdr:colOff>
      <xdr:row>32</xdr:row>
      <xdr:rowOff>28223</xdr:rowOff>
    </xdr:to>
    <xdr:graphicFrame macro="">
      <xdr:nvGraphicFramePr>
        <xdr:cNvPr id="19" name="Chart 18">
          <a:extLst>
            <a:ext uri="{FF2B5EF4-FFF2-40B4-BE49-F238E27FC236}">
              <a16:creationId xmlns:a16="http://schemas.microsoft.com/office/drawing/2014/main" id="{E4CAE711-F990-44F0-9615-B8404D521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348074</xdr:colOff>
      <xdr:row>35</xdr:row>
      <xdr:rowOff>112889</xdr:rowOff>
    </xdr:from>
    <xdr:to>
      <xdr:col>12</xdr:col>
      <xdr:colOff>122296</xdr:colOff>
      <xdr:row>49</xdr:row>
      <xdr:rowOff>112889</xdr:rowOff>
    </xdr:to>
    <xdr:graphicFrame macro="">
      <xdr:nvGraphicFramePr>
        <xdr:cNvPr id="20" name="Chart 19">
          <a:extLst>
            <a:ext uri="{FF2B5EF4-FFF2-40B4-BE49-F238E27FC236}">
              <a16:creationId xmlns:a16="http://schemas.microsoft.com/office/drawing/2014/main" id="{8FAE28E0-B79F-476F-ABDE-9A6645463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182506</xdr:colOff>
      <xdr:row>34</xdr:row>
      <xdr:rowOff>75254</xdr:rowOff>
    </xdr:from>
    <xdr:to>
      <xdr:col>12</xdr:col>
      <xdr:colOff>330654</xdr:colOff>
      <xdr:row>50</xdr:row>
      <xdr:rowOff>69611</xdr:rowOff>
    </xdr:to>
    <xdr:sp macro="" textlink="">
      <xdr:nvSpPr>
        <xdr:cNvPr id="21" name="Rectangle: Rounded Corners 20">
          <a:extLst>
            <a:ext uri="{FF2B5EF4-FFF2-40B4-BE49-F238E27FC236}">
              <a16:creationId xmlns:a16="http://schemas.microsoft.com/office/drawing/2014/main" id="{D4EECF5F-175F-409E-A12F-F5503246761C}"/>
            </a:ext>
          </a:extLst>
        </xdr:cNvPr>
        <xdr:cNvSpPr/>
      </xdr:nvSpPr>
      <xdr:spPr>
        <a:xfrm>
          <a:off x="1405469" y="6331180"/>
          <a:ext cx="5040000" cy="2854209"/>
        </a:xfrm>
        <a:prstGeom prst="roundRect">
          <a:avLst>
            <a:gd name="adj" fmla="val 2812"/>
          </a:avLst>
        </a:prstGeom>
        <a:noFill/>
        <a:effectLst>
          <a:outerShdw blurRad="50800" dist="38100" dir="2700000" algn="tl" rotWithShape="0">
            <a:schemeClr val="tx1">
              <a:lumMod val="65000"/>
              <a:lumOff val="3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517407</xdr:colOff>
      <xdr:row>36</xdr:row>
      <xdr:rowOff>141112</xdr:rowOff>
    </xdr:from>
    <xdr:to>
      <xdr:col>20</xdr:col>
      <xdr:colOff>423333</xdr:colOff>
      <xdr:row>49</xdr:row>
      <xdr:rowOff>103482</xdr:rowOff>
    </xdr:to>
    <xdr:graphicFrame macro="">
      <xdr:nvGraphicFramePr>
        <xdr:cNvPr id="22" name="Chart 21">
          <a:extLst>
            <a:ext uri="{FF2B5EF4-FFF2-40B4-BE49-F238E27FC236}">
              <a16:creationId xmlns:a16="http://schemas.microsoft.com/office/drawing/2014/main" id="{CC1CB7D0-5429-4DDD-893B-6369D6DE3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428970</xdr:colOff>
      <xdr:row>34</xdr:row>
      <xdr:rowOff>75259</xdr:rowOff>
    </xdr:from>
    <xdr:to>
      <xdr:col>20</xdr:col>
      <xdr:colOff>577118</xdr:colOff>
      <xdr:row>50</xdr:row>
      <xdr:rowOff>43272</xdr:rowOff>
    </xdr:to>
    <xdr:sp macro="" textlink="">
      <xdr:nvSpPr>
        <xdr:cNvPr id="23" name="Rectangle: Rounded Corners 22">
          <a:extLst>
            <a:ext uri="{FF2B5EF4-FFF2-40B4-BE49-F238E27FC236}">
              <a16:creationId xmlns:a16="http://schemas.microsoft.com/office/drawing/2014/main" id="{21BDF8C3-7462-4962-8122-D04851EAF380}"/>
            </a:ext>
          </a:extLst>
        </xdr:cNvPr>
        <xdr:cNvSpPr/>
      </xdr:nvSpPr>
      <xdr:spPr>
        <a:xfrm>
          <a:off x="6543785" y="6331185"/>
          <a:ext cx="5040000" cy="2827865"/>
        </a:xfrm>
        <a:prstGeom prst="roundRect">
          <a:avLst>
            <a:gd name="adj" fmla="val 2812"/>
          </a:avLst>
        </a:prstGeom>
        <a:noFill/>
        <a:effectLst>
          <a:outerShdw blurRad="50800" dist="38100" dir="2700000" algn="tl" rotWithShape="0">
            <a:schemeClr val="tx1">
              <a:lumMod val="65000"/>
              <a:lumOff val="3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214920</xdr:colOff>
      <xdr:row>15</xdr:row>
      <xdr:rowOff>122299</xdr:rowOff>
    </xdr:from>
    <xdr:to>
      <xdr:col>10</xdr:col>
      <xdr:colOff>498592</xdr:colOff>
      <xdr:row>18</xdr:row>
      <xdr:rowOff>88768</xdr:rowOff>
    </xdr:to>
    <xdr:sp macro="" textlink="">
      <xdr:nvSpPr>
        <xdr:cNvPr id="26" name="Rectangle: Rounded Corners 25">
          <a:extLst>
            <a:ext uri="{FF2B5EF4-FFF2-40B4-BE49-F238E27FC236}">
              <a16:creationId xmlns:a16="http://schemas.microsoft.com/office/drawing/2014/main" id="{79277F2F-4390-473D-B4B6-45D2B6652EF1}"/>
            </a:ext>
          </a:extLst>
        </xdr:cNvPr>
        <xdr:cNvSpPr/>
      </xdr:nvSpPr>
      <xdr:spPr>
        <a:xfrm>
          <a:off x="2049364" y="2982151"/>
          <a:ext cx="3341080" cy="5026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accent2">
                  <a:lumMod val="50000"/>
                </a:schemeClr>
              </a:solidFill>
              <a:latin typeface="Segoe UI "/>
            </a:rPr>
            <a:t>ATTRITION</a:t>
          </a:r>
          <a:r>
            <a:rPr lang="en-IN" sz="2000" baseline="0">
              <a:solidFill>
                <a:schemeClr val="accent2">
                  <a:lumMod val="50000"/>
                </a:schemeClr>
              </a:solidFill>
              <a:latin typeface="Segoe UI "/>
            </a:rPr>
            <a:t> BY SALARY</a:t>
          </a:r>
          <a:endParaRPr lang="en-IN" sz="2000">
            <a:solidFill>
              <a:schemeClr val="accent2">
                <a:lumMod val="50000"/>
              </a:schemeClr>
            </a:solidFill>
            <a:latin typeface="Segoe UI "/>
          </a:endParaRPr>
        </a:p>
      </xdr:txBody>
    </xdr:sp>
    <xdr:clientData/>
  </xdr:twoCellAnchor>
  <xdr:twoCellAnchor>
    <xdr:from>
      <xdr:col>13</xdr:col>
      <xdr:colOff>480208</xdr:colOff>
      <xdr:row>34</xdr:row>
      <xdr:rowOff>58329</xdr:rowOff>
    </xdr:from>
    <xdr:to>
      <xdr:col>19</xdr:col>
      <xdr:colOff>152399</xdr:colOff>
      <xdr:row>37</xdr:row>
      <xdr:rowOff>24798</xdr:rowOff>
    </xdr:to>
    <xdr:sp macro="" textlink="">
      <xdr:nvSpPr>
        <xdr:cNvPr id="27" name="Rectangle: Rounded Corners 26">
          <a:extLst>
            <a:ext uri="{FF2B5EF4-FFF2-40B4-BE49-F238E27FC236}">
              <a16:creationId xmlns:a16="http://schemas.microsoft.com/office/drawing/2014/main" id="{A39D8E3E-8B8A-4491-8552-F93A152F4CF6}"/>
            </a:ext>
          </a:extLst>
        </xdr:cNvPr>
        <xdr:cNvSpPr/>
      </xdr:nvSpPr>
      <xdr:spPr>
        <a:xfrm>
          <a:off x="7206504" y="6314255"/>
          <a:ext cx="3341080" cy="5026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accent2">
                  <a:lumMod val="50000"/>
                </a:schemeClr>
              </a:solidFill>
              <a:latin typeface="Segoe UI "/>
            </a:rPr>
            <a:t>ATTRITION</a:t>
          </a:r>
          <a:r>
            <a:rPr lang="en-IN" sz="2000" baseline="0">
              <a:solidFill>
                <a:schemeClr val="accent2">
                  <a:lumMod val="50000"/>
                </a:schemeClr>
              </a:solidFill>
              <a:latin typeface="Segoe UI "/>
            </a:rPr>
            <a:t> BY AGE</a:t>
          </a:r>
          <a:endParaRPr lang="en-IN" sz="2000">
            <a:solidFill>
              <a:schemeClr val="accent2">
                <a:lumMod val="50000"/>
              </a:schemeClr>
            </a:solidFill>
            <a:latin typeface="Segoe UI "/>
          </a:endParaRPr>
        </a:p>
      </xdr:txBody>
    </xdr:sp>
    <xdr:clientData/>
  </xdr:twoCellAnchor>
  <xdr:twoCellAnchor>
    <xdr:from>
      <xdr:col>5</xdr:col>
      <xdr:colOff>58755</xdr:colOff>
      <xdr:row>33</xdr:row>
      <xdr:rowOff>163694</xdr:rowOff>
    </xdr:from>
    <xdr:to>
      <xdr:col>10</xdr:col>
      <xdr:colOff>342427</xdr:colOff>
      <xdr:row>36</xdr:row>
      <xdr:rowOff>130163</xdr:rowOff>
    </xdr:to>
    <xdr:sp macro="" textlink="">
      <xdr:nvSpPr>
        <xdr:cNvPr id="28" name="Rectangle: Rounded Corners 27">
          <a:extLst>
            <a:ext uri="{FF2B5EF4-FFF2-40B4-BE49-F238E27FC236}">
              <a16:creationId xmlns:a16="http://schemas.microsoft.com/office/drawing/2014/main" id="{0706CC2D-5ADD-43E9-B297-4ECF186F83AB}"/>
            </a:ext>
          </a:extLst>
        </xdr:cNvPr>
        <xdr:cNvSpPr/>
      </xdr:nvSpPr>
      <xdr:spPr>
        <a:xfrm>
          <a:off x="1893199" y="6240879"/>
          <a:ext cx="3341080" cy="5026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accent2">
                  <a:lumMod val="50000"/>
                </a:schemeClr>
              </a:solidFill>
              <a:latin typeface="Segoe UI "/>
            </a:rPr>
            <a:t>ATTRITION</a:t>
          </a:r>
          <a:r>
            <a:rPr lang="en-IN" sz="2000" baseline="0">
              <a:solidFill>
                <a:schemeClr val="accent2">
                  <a:lumMod val="50000"/>
                </a:schemeClr>
              </a:solidFill>
              <a:latin typeface="Segoe UI "/>
            </a:rPr>
            <a:t> BY OVERTIME</a:t>
          </a:r>
          <a:endParaRPr lang="en-IN" sz="2000">
            <a:solidFill>
              <a:schemeClr val="accent2">
                <a:lumMod val="50000"/>
              </a:schemeClr>
            </a:solidFill>
            <a:latin typeface="Segoe UI "/>
          </a:endParaRPr>
        </a:p>
      </xdr:txBody>
    </xdr:sp>
    <xdr:clientData/>
  </xdr:twoCellAnchor>
  <xdr:twoCellAnchor>
    <xdr:from>
      <xdr:col>13</xdr:col>
      <xdr:colOff>512200</xdr:colOff>
      <xdr:row>15</xdr:row>
      <xdr:rowOff>90312</xdr:rowOff>
    </xdr:from>
    <xdr:to>
      <xdr:col>20</xdr:col>
      <xdr:colOff>197561</xdr:colOff>
      <xdr:row>18</xdr:row>
      <xdr:rowOff>56781</xdr:rowOff>
    </xdr:to>
    <xdr:sp macro="" textlink="">
      <xdr:nvSpPr>
        <xdr:cNvPr id="29" name="Rectangle: Rounded Corners 28">
          <a:extLst>
            <a:ext uri="{FF2B5EF4-FFF2-40B4-BE49-F238E27FC236}">
              <a16:creationId xmlns:a16="http://schemas.microsoft.com/office/drawing/2014/main" id="{11672686-62DC-4616-836F-E4219DF1C090}"/>
            </a:ext>
          </a:extLst>
        </xdr:cNvPr>
        <xdr:cNvSpPr/>
      </xdr:nvSpPr>
      <xdr:spPr>
        <a:xfrm>
          <a:off x="7238496" y="2950164"/>
          <a:ext cx="3965732" cy="50269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accent2">
                  <a:lumMod val="50000"/>
                </a:schemeClr>
              </a:solidFill>
              <a:latin typeface="Segoe UI "/>
            </a:rPr>
            <a:t>ATTRITION</a:t>
          </a:r>
          <a:r>
            <a:rPr lang="en-IN" sz="2000" baseline="0">
              <a:solidFill>
                <a:schemeClr val="accent2">
                  <a:lumMod val="50000"/>
                </a:schemeClr>
              </a:solidFill>
              <a:latin typeface="Segoe UI "/>
            </a:rPr>
            <a:t> BY DEPARTMENT</a:t>
          </a:r>
          <a:endParaRPr lang="en-IN" sz="2000">
            <a:solidFill>
              <a:schemeClr val="accent2">
                <a:lumMod val="50000"/>
              </a:schemeClr>
            </a:solidFill>
            <a:latin typeface="Segoe UI "/>
          </a:endParaRPr>
        </a:p>
      </xdr:txBody>
    </xdr:sp>
    <xdr:clientData/>
  </xdr:twoCellAnchor>
  <xdr:twoCellAnchor>
    <xdr:from>
      <xdr:col>1</xdr:col>
      <xdr:colOff>297655</xdr:colOff>
      <xdr:row>9</xdr:row>
      <xdr:rowOff>124919</xdr:rowOff>
    </xdr:from>
    <xdr:to>
      <xdr:col>4</xdr:col>
      <xdr:colOff>35718</xdr:colOff>
      <xdr:row>50</xdr:row>
      <xdr:rowOff>62458</xdr:rowOff>
    </xdr:to>
    <xdr:sp macro="" textlink="">
      <xdr:nvSpPr>
        <xdr:cNvPr id="30" name="Rectangle: Rounded Corners 29">
          <a:extLst>
            <a:ext uri="{FF2B5EF4-FFF2-40B4-BE49-F238E27FC236}">
              <a16:creationId xmlns:a16="http://schemas.microsoft.com/office/drawing/2014/main" id="{9DABC94E-41E9-F2A4-010C-737C129611F9}"/>
            </a:ext>
          </a:extLst>
        </xdr:cNvPr>
        <xdr:cNvSpPr/>
      </xdr:nvSpPr>
      <xdr:spPr>
        <a:xfrm>
          <a:off x="909753" y="1998689"/>
          <a:ext cx="1574358" cy="7619999"/>
        </a:xfrm>
        <a:prstGeom prst="roundRect">
          <a:avLst>
            <a:gd name="adj" fmla="val 9524"/>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333373</xdr:colOff>
      <xdr:row>15</xdr:row>
      <xdr:rowOff>143226</xdr:rowOff>
    </xdr:from>
    <xdr:to>
      <xdr:col>4</xdr:col>
      <xdr:colOff>11905</xdr:colOff>
      <xdr:row>21</xdr:row>
      <xdr:rowOff>168210</xdr:rowOff>
    </xdr:to>
    <mc:AlternateContent xmlns:mc="http://schemas.openxmlformats.org/markup-compatibility/2006">
      <mc:Choice xmlns:a14="http://schemas.microsoft.com/office/drawing/2010/main" Requires="a14">
        <xdr:graphicFrame macro="">
          <xdr:nvGraphicFramePr>
            <xdr:cNvPr id="31" name="Gender 1">
              <a:extLst>
                <a:ext uri="{FF2B5EF4-FFF2-40B4-BE49-F238E27FC236}">
                  <a16:creationId xmlns:a16="http://schemas.microsoft.com/office/drawing/2014/main" id="{863AAF6F-1150-48D9-8718-AB710FD4148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38135" y="2864655"/>
              <a:ext cx="1492818" cy="1113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304800</xdr:colOff>
      <xdr:row>27</xdr:row>
      <xdr:rowOff>161913</xdr:rowOff>
    </xdr:from>
    <xdr:to>
      <xdr:col>4</xdr:col>
      <xdr:colOff>0</xdr:colOff>
      <xdr:row>35</xdr:row>
      <xdr:rowOff>136765</xdr:rowOff>
    </xdr:to>
    <mc:AlternateContent xmlns:mc="http://schemas.openxmlformats.org/markup-compatibility/2006">
      <mc:Choice xmlns:a14="http://schemas.microsoft.com/office/drawing/2010/main" Requires="a14">
        <xdr:graphicFrame macro="">
          <xdr:nvGraphicFramePr>
            <xdr:cNvPr id="32" name="MaritalStatus 1">
              <a:extLst>
                <a:ext uri="{FF2B5EF4-FFF2-40B4-BE49-F238E27FC236}">
                  <a16:creationId xmlns:a16="http://schemas.microsoft.com/office/drawing/2014/main" id="{A5A00EFB-F056-4619-A642-CDFD7C8D8172}"/>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909562" y="5060484"/>
              <a:ext cx="1509486" cy="1426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325120</xdr:colOff>
      <xdr:row>40</xdr:row>
      <xdr:rowOff>39416</xdr:rowOff>
    </xdr:from>
    <xdr:to>
      <xdr:col>4</xdr:col>
      <xdr:colOff>20320</xdr:colOff>
      <xdr:row>49</xdr:row>
      <xdr:rowOff>52553</xdr:rowOff>
    </xdr:to>
    <mc:AlternateContent xmlns:mc="http://schemas.openxmlformats.org/markup-compatibility/2006">
      <mc:Choice xmlns:a14="http://schemas.microsoft.com/office/drawing/2010/main" Requires="a14">
        <xdr:graphicFrame macro="">
          <xdr:nvGraphicFramePr>
            <xdr:cNvPr id="33" name="BusinessTravel 1">
              <a:extLst>
                <a:ext uri="{FF2B5EF4-FFF2-40B4-BE49-F238E27FC236}">
                  <a16:creationId xmlns:a16="http://schemas.microsoft.com/office/drawing/2014/main" id="{B82AB40A-3934-4349-B65C-7FF4F7FA3941}"/>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dr:sp macro="" textlink="">
          <xdr:nvSpPr>
            <xdr:cNvPr id="0" name=""/>
            <xdr:cNvSpPr>
              <a:spLocks noTextEdit="1"/>
            </xdr:cNvSpPr>
          </xdr:nvSpPr>
          <xdr:spPr>
            <a:xfrm>
              <a:off x="929882" y="7296559"/>
              <a:ext cx="1509486" cy="1645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298383</xdr:colOff>
      <xdr:row>9</xdr:row>
      <xdr:rowOff>183930</xdr:rowOff>
    </xdr:from>
    <xdr:to>
      <xdr:col>4</xdr:col>
      <xdr:colOff>26276</xdr:colOff>
      <xdr:row>11</xdr:row>
      <xdr:rowOff>177624</xdr:rowOff>
    </xdr:to>
    <xdr:sp macro="" textlink="">
      <xdr:nvSpPr>
        <xdr:cNvPr id="40" name="Rectangle: Rounded Corners 39">
          <a:extLst>
            <a:ext uri="{FF2B5EF4-FFF2-40B4-BE49-F238E27FC236}">
              <a16:creationId xmlns:a16="http://schemas.microsoft.com/office/drawing/2014/main" id="{F0646BD7-9988-4E0D-B960-81E55CAE8D84}"/>
            </a:ext>
          </a:extLst>
        </xdr:cNvPr>
        <xdr:cNvSpPr/>
      </xdr:nvSpPr>
      <xdr:spPr>
        <a:xfrm>
          <a:off x="902728" y="2023240"/>
          <a:ext cx="1540927" cy="3615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lumMod val="85000"/>
                  <a:lumOff val="15000"/>
                </a:schemeClr>
              </a:solidFill>
              <a:latin typeface="Segoe UI" panose="020B0502040204020203" pitchFamily="34" charset="0"/>
              <a:cs typeface="Segoe UI" panose="020B0502040204020203" pitchFamily="34" charset="0"/>
            </a:rPr>
            <a:t>FILTERS</a:t>
          </a:r>
        </a:p>
      </xdr:txBody>
    </xdr:sp>
    <xdr:clientData/>
  </xdr:twoCellAnchor>
  <xdr:twoCellAnchor>
    <xdr:from>
      <xdr:col>1</xdr:col>
      <xdr:colOff>367862</xdr:colOff>
      <xdr:row>12</xdr:row>
      <xdr:rowOff>129251</xdr:rowOff>
    </xdr:from>
    <xdr:to>
      <xdr:col>4</xdr:col>
      <xdr:colOff>0</xdr:colOff>
      <xdr:row>12</xdr:row>
      <xdr:rowOff>129252</xdr:rowOff>
    </xdr:to>
    <xdr:cxnSp macro="">
      <xdr:nvCxnSpPr>
        <xdr:cNvPr id="42" name="Straight Connector 41">
          <a:extLst>
            <a:ext uri="{FF2B5EF4-FFF2-40B4-BE49-F238E27FC236}">
              <a16:creationId xmlns:a16="http://schemas.microsoft.com/office/drawing/2014/main" id="{D248C937-9A4B-B4C4-DD15-0AE119C2017A}"/>
            </a:ext>
          </a:extLst>
        </xdr:cNvPr>
        <xdr:cNvCxnSpPr/>
      </xdr:nvCxnSpPr>
      <xdr:spPr>
        <a:xfrm>
          <a:off x="975403" y="2538819"/>
          <a:ext cx="1454759" cy="1"/>
        </a:xfrm>
        <a:prstGeom prst="line">
          <a:avLst/>
        </a:prstGeom>
        <a:ln w="34925">
          <a:solidFill>
            <a:schemeClr val="accent1">
              <a:lumMod val="50000"/>
            </a:schemeClr>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349468</xdr:colOff>
      <xdr:row>23</xdr:row>
      <xdr:rowOff>145659</xdr:rowOff>
    </xdr:from>
    <xdr:to>
      <xdr:col>3</xdr:col>
      <xdr:colOff>585951</xdr:colOff>
      <xdr:row>23</xdr:row>
      <xdr:rowOff>145660</xdr:rowOff>
    </xdr:to>
    <xdr:cxnSp macro="">
      <xdr:nvCxnSpPr>
        <xdr:cNvPr id="44" name="Straight Connector 43">
          <a:extLst>
            <a:ext uri="{FF2B5EF4-FFF2-40B4-BE49-F238E27FC236}">
              <a16:creationId xmlns:a16="http://schemas.microsoft.com/office/drawing/2014/main" id="{4DCF72D7-FC74-4D66-9FD6-46FFAFB27767}"/>
            </a:ext>
          </a:extLst>
        </xdr:cNvPr>
        <xdr:cNvCxnSpPr/>
      </xdr:nvCxnSpPr>
      <xdr:spPr>
        <a:xfrm>
          <a:off x="957009" y="4594091"/>
          <a:ext cx="1451564" cy="1"/>
        </a:xfrm>
        <a:prstGeom prst="line">
          <a:avLst/>
        </a:prstGeom>
        <a:ln w="34925">
          <a:solidFill>
            <a:schemeClr val="accent1">
              <a:lumMod val="50000"/>
            </a:schemeClr>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383626</xdr:colOff>
      <xdr:row>37</xdr:row>
      <xdr:rowOff>147148</xdr:rowOff>
    </xdr:from>
    <xdr:to>
      <xdr:col>4</xdr:col>
      <xdr:colOff>15764</xdr:colOff>
      <xdr:row>37</xdr:row>
      <xdr:rowOff>147149</xdr:rowOff>
    </xdr:to>
    <xdr:cxnSp macro="">
      <xdr:nvCxnSpPr>
        <xdr:cNvPr id="45" name="Straight Connector 44">
          <a:extLst>
            <a:ext uri="{FF2B5EF4-FFF2-40B4-BE49-F238E27FC236}">
              <a16:creationId xmlns:a16="http://schemas.microsoft.com/office/drawing/2014/main" id="{2672F772-C089-4CB9-A39F-F42BB67EA5D0}"/>
            </a:ext>
          </a:extLst>
        </xdr:cNvPr>
        <xdr:cNvCxnSpPr/>
      </xdr:nvCxnSpPr>
      <xdr:spPr>
        <a:xfrm>
          <a:off x="987971" y="7136527"/>
          <a:ext cx="1445172" cy="1"/>
        </a:xfrm>
        <a:prstGeom prst="line">
          <a:avLst/>
        </a:prstGeom>
        <a:ln w="34925">
          <a:solidFill>
            <a:schemeClr val="accent1">
              <a:lumMod val="50000"/>
            </a:schemeClr>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121557</xdr:colOff>
      <xdr:row>13</xdr:row>
      <xdr:rowOff>133866</xdr:rowOff>
    </xdr:from>
    <xdr:to>
      <xdr:col>4</xdr:col>
      <xdr:colOff>143706</xdr:colOff>
      <xdr:row>15</xdr:row>
      <xdr:rowOff>164757</xdr:rowOff>
    </xdr:to>
    <xdr:sp macro="" textlink="">
      <xdr:nvSpPr>
        <xdr:cNvPr id="46" name="Rectangle: Rounded Corners 45">
          <a:extLst>
            <a:ext uri="{FF2B5EF4-FFF2-40B4-BE49-F238E27FC236}">
              <a16:creationId xmlns:a16="http://schemas.microsoft.com/office/drawing/2014/main" id="{0CFBD4A4-460A-4E6B-AF65-B12487620479}"/>
            </a:ext>
          </a:extLst>
        </xdr:cNvPr>
        <xdr:cNvSpPr/>
      </xdr:nvSpPr>
      <xdr:spPr>
        <a:xfrm>
          <a:off x="729098" y="2728785"/>
          <a:ext cx="1844770" cy="4015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a:solidFill>
                <a:schemeClr val="tx1">
                  <a:lumMod val="85000"/>
                  <a:lumOff val="15000"/>
                </a:schemeClr>
              </a:solidFill>
              <a:latin typeface="Segoe UI" panose="020B0502040204020203" pitchFamily="34" charset="0"/>
              <a:ea typeface="+mn-ea"/>
              <a:cs typeface="Segoe UI" panose="020B0502040204020203" pitchFamily="34" charset="0"/>
            </a:rPr>
            <a:t>GENDER</a:t>
          </a:r>
        </a:p>
      </xdr:txBody>
    </xdr:sp>
    <xdr:clientData/>
  </xdr:twoCellAnchor>
  <xdr:twoCellAnchor>
    <xdr:from>
      <xdr:col>1</xdr:col>
      <xdr:colOff>82380</xdr:colOff>
      <xdr:row>25</xdr:row>
      <xdr:rowOff>121502</xdr:rowOff>
    </xdr:from>
    <xdr:to>
      <xdr:col>4</xdr:col>
      <xdr:colOff>319220</xdr:colOff>
      <xdr:row>27</xdr:row>
      <xdr:rowOff>152393</xdr:rowOff>
    </xdr:to>
    <xdr:sp macro="" textlink="">
      <xdr:nvSpPr>
        <xdr:cNvPr id="47" name="Rectangle: Rounded Corners 46">
          <a:extLst>
            <a:ext uri="{FF2B5EF4-FFF2-40B4-BE49-F238E27FC236}">
              <a16:creationId xmlns:a16="http://schemas.microsoft.com/office/drawing/2014/main" id="{3BFDD9F6-7946-47C7-A0FB-29362DCC8EC3}"/>
            </a:ext>
          </a:extLst>
        </xdr:cNvPr>
        <xdr:cNvSpPr/>
      </xdr:nvSpPr>
      <xdr:spPr>
        <a:xfrm>
          <a:off x="689921" y="4940637"/>
          <a:ext cx="2059461" cy="4015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a:solidFill>
                <a:schemeClr val="tx1">
                  <a:lumMod val="85000"/>
                  <a:lumOff val="15000"/>
                </a:schemeClr>
              </a:solidFill>
              <a:latin typeface="Segoe UI" panose="020B0502040204020203" pitchFamily="34" charset="0"/>
              <a:ea typeface="+mn-ea"/>
              <a:cs typeface="Segoe UI" panose="020B0502040204020203" pitchFamily="34" charset="0"/>
            </a:rPr>
            <a:t>MARTIAL</a:t>
          </a:r>
          <a:r>
            <a:rPr lang="en-IN" sz="1400" baseline="0">
              <a:solidFill>
                <a:schemeClr val="tx1">
                  <a:lumMod val="85000"/>
                  <a:lumOff val="15000"/>
                </a:schemeClr>
              </a:solidFill>
              <a:latin typeface="Segoe UI" panose="020B0502040204020203" pitchFamily="34" charset="0"/>
              <a:ea typeface="+mn-ea"/>
              <a:cs typeface="Segoe UI" panose="020B0502040204020203" pitchFamily="34" charset="0"/>
            </a:rPr>
            <a:t> STATUS</a:t>
          </a:r>
          <a:endParaRPr lang="en-IN" sz="1400">
            <a:solidFill>
              <a:schemeClr val="tx1">
                <a:lumMod val="85000"/>
                <a:lumOff val="1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1</xdr:col>
      <xdr:colOff>107140</xdr:colOff>
      <xdr:row>38</xdr:row>
      <xdr:rowOff>67961</xdr:rowOff>
    </xdr:from>
    <xdr:to>
      <xdr:col>4</xdr:col>
      <xdr:colOff>339810</xdr:colOff>
      <xdr:row>40</xdr:row>
      <xdr:rowOff>98853</xdr:rowOff>
    </xdr:to>
    <xdr:sp macro="" textlink="">
      <xdr:nvSpPr>
        <xdr:cNvPr id="48" name="Rectangle: Rounded Corners 47">
          <a:extLst>
            <a:ext uri="{FF2B5EF4-FFF2-40B4-BE49-F238E27FC236}">
              <a16:creationId xmlns:a16="http://schemas.microsoft.com/office/drawing/2014/main" id="{6E1ADC4A-F947-4A7C-93B7-DAF02AF48DB3}"/>
            </a:ext>
          </a:extLst>
        </xdr:cNvPr>
        <xdr:cNvSpPr/>
      </xdr:nvSpPr>
      <xdr:spPr>
        <a:xfrm>
          <a:off x="714681" y="7296664"/>
          <a:ext cx="2055291" cy="4015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a:solidFill>
                <a:schemeClr val="tx1">
                  <a:lumMod val="85000"/>
                  <a:lumOff val="15000"/>
                </a:schemeClr>
              </a:solidFill>
              <a:latin typeface="Segoe UI" panose="020B0502040204020203" pitchFamily="34" charset="0"/>
              <a:ea typeface="+mn-ea"/>
              <a:cs typeface="Segoe UI" panose="020B0502040204020203" pitchFamily="34" charset="0"/>
            </a:rPr>
            <a:t>BUSSINESS</a:t>
          </a:r>
          <a:r>
            <a:rPr lang="en-IN" sz="1200" baseline="0">
              <a:solidFill>
                <a:schemeClr val="tx1">
                  <a:lumMod val="85000"/>
                  <a:lumOff val="15000"/>
                </a:schemeClr>
              </a:solidFill>
              <a:latin typeface="Segoe UI" panose="020B0502040204020203" pitchFamily="34" charset="0"/>
              <a:ea typeface="+mn-ea"/>
              <a:cs typeface="Segoe UI" panose="020B0502040204020203" pitchFamily="34" charset="0"/>
            </a:rPr>
            <a:t> TRAVELL</a:t>
          </a:r>
          <a:endParaRPr lang="en-IN" sz="1200">
            <a:solidFill>
              <a:schemeClr val="tx1">
                <a:lumMod val="85000"/>
                <a:lumOff val="1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1</xdr:col>
      <xdr:colOff>244416</xdr:colOff>
      <xdr:row>3</xdr:row>
      <xdr:rowOff>6752</xdr:rowOff>
    </xdr:from>
    <xdr:to>
      <xdr:col>20</xdr:col>
      <xdr:colOff>589472</xdr:colOff>
      <xdr:row>7</xdr:row>
      <xdr:rowOff>172524</xdr:rowOff>
    </xdr:to>
    <xdr:sp macro="" textlink="">
      <xdr:nvSpPr>
        <xdr:cNvPr id="49" name="Rectangle: Rounded Corners 48">
          <a:extLst>
            <a:ext uri="{FF2B5EF4-FFF2-40B4-BE49-F238E27FC236}">
              <a16:creationId xmlns:a16="http://schemas.microsoft.com/office/drawing/2014/main" id="{D3830938-6EB1-F71A-A26C-8F94AE7BAF93}"/>
            </a:ext>
          </a:extLst>
        </xdr:cNvPr>
        <xdr:cNvSpPr/>
      </xdr:nvSpPr>
      <xdr:spPr>
        <a:xfrm>
          <a:off x="848265" y="754375"/>
          <a:ext cx="11818188" cy="913394"/>
        </a:xfrm>
        <a:prstGeom prst="roundRect">
          <a:avLst/>
        </a:prstGeom>
        <a:solidFill>
          <a:srgbClr val="F4F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solidFill>
                <a:srgbClr val="1F4E79"/>
              </a:solidFill>
            </a:rPr>
            <a:t>  </a:t>
          </a:r>
          <a:r>
            <a:rPr lang="en-IN" sz="4000" baseline="0">
              <a:solidFill>
                <a:srgbClr val="1F4E79"/>
              </a:solidFill>
            </a:rPr>
            <a:t>  </a:t>
          </a:r>
          <a:r>
            <a:rPr lang="en-IN" sz="4000">
              <a:solidFill>
                <a:srgbClr val="1F4E79"/>
              </a:solidFill>
            </a:rPr>
            <a:t>HR Analytics:</a:t>
          </a:r>
          <a:r>
            <a:rPr lang="en-IN" sz="4000" baseline="0">
              <a:solidFill>
                <a:srgbClr val="1F4E79"/>
              </a:solidFill>
            </a:rPr>
            <a:t> Workforce Attrition &amp; Retention Insights</a:t>
          </a:r>
          <a:endParaRPr lang="en-IN" sz="4000">
            <a:solidFill>
              <a:srgbClr val="1F4E79"/>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gh" refreshedDate="46191.71167326389" backgroundQuery="1" createdVersion="8" refreshedVersion="8" minRefreshableVersion="3" recordCount="0" supportSubquery="1" supportAdvancedDrill="1" xr:uid="{536C800E-3ECA-4DBD-B747-DFCD88C8D8B7}">
  <cacheSource type="external" connectionId="2"/>
  <cacheFields count="3">
    <cacheField name="[Measures].[total arretetion]" caption="total arretetion" numFmtId="0" hierarchy="35" level="32767"/>
    <cacheField name="[WA_Fn-UseC_-HR-Employee-Attrition].[OverTime].[OverTime]" caption="OverTime" numFmtId="0" hierarchy="20" level="1">
      <sharedItems count="2">
        <s v="No"/>
        <s v="Yes"/>
      </sharedItems>
    </cacheField>
    <cacheField name="[WA_Fn-UseC_-HR-Employee-Attrition].[BusinessTravel].[BusinessTravel]" caption="BusinessTravel" numFmtId="0" hierarchy="2" level="1">
      <sharedItems containsSemiMixedTypes="0" containsNonDate="0" containsString="0"/>
    </cacheField>
  </cacheFields>
  <cacheHierarchies count="41">
    <cacheHierarchy uniqueName="[WA_Fn-UseC_-HR-Employee-Attrition].[Age]" caption="Age" attribute="1" defaultMemberUniqueName="[WA_Fn-UseC_-HR-Employee-Attrition].[Age].[All]" allUniqueName="[WA_Fn-UseC_-HR-Employee-Attrition].[Age].[All]" dimensionUniqueName="[WA_Fn-UseC_-HR-Employee-Attrition]" displayFolder="" count="2"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fieldsUsage count="2">
        <fieldUsage x="-1"/>
        <fieldUsage x="2"/>
      </fieldsUsage>
    </cacheHierarchy>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2"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2"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2"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2"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2"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2"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2"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2"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2"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2"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2"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2"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2" memberValueDatatype="130" unbalanced="0">
      <fieldsUsage count="2">
        <fieldUsage x="-1"/>
        <fieldUsage x="1"/>
      </fieldsUsage>
    </cacheHierarchy>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2"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2"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2"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2"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2"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2"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2"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2"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2"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2" memberValueDatatype="20" unbalanced="0"/>
    <cacheHierarchy uniqueName="[WA_Fn-UseC_-HR-Employee-Attrition].[age grp]" caption="age grp" attribute="1" defaultMemberUniqueName="[WA_Fn-UseC_-HR-Employee-Attrition].[age grp].[All]" allUniqueName="[WA_Fn-UseC_-HR-Employee-Attrition].[age grp].[All]" dimensionUniqueName="[WA_Fn-UseC_-HR-Employee-Attrition]" displayFolder="" count="2" memberValueDatatype="130" unbalanced="0"/>
    <cacheHierarchy uniqueName="[WA_Fn-UseC_-HR-Employee-Attrition].[Salary Slab]" caption="Salary Slab" attribute="1" defaultMemberUniqueName="[WA_Fn-UseC_-HR-Employee-Attrition].[Salary Slab].[All]" allUniqueName="[WA_Fn-UseC_-HR-Employee-Attrition].[Salary Slab].[All]" dimensionUniqueName="[WA_Fn-UseC_-HR-Employee-Attrition]" displayFolder="" count="2" memberValueDatatype="130" unbalanced="0"/>
    <cacheHierarchy uniqueName="[Measures].[total employee]" caption="total employee" measure="1" displayFolder="" measureGroup="WA_Fn-UseC_-HR-Employee-Attrition" count="0"/>
    <cacheHierarchy uniqueName="[Measures].[total arretetion]" caption="total arretetion" measure="1" displayFolder="" measureGroup="WA_Fn-UseC_-HR-Employee-Attrition" count="0" oneField="1">
      <fieldsUsage count="1">
        <fieldUsage x="0"/>
      </fieldsUsage>
    </cacheHierarchy>
    <cacheHierarchy uniqueName="[Measures].[arretetion %]" caption="arretetion %" measure="1" displayFolder="" measureGroup="WA_Fn-UseC_-HR-Employee-Attrition" count="0"/>
    <cacheHierarchy uniqueName="[Measures].[current head count]" caption="current head count" measure="1" displayFolder="" measureGroup="WA_Fn-UseC_-HR-Employee-Attrition" count="0"/>
    <cacheHierarchy uniqueName="[Measures].[avg monthly income]" caption="avg monthly income"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gh" refreshedDate="46191.711673726852" backgroundQuery="1" createdVersion="8" refreshedVersion="8" minRefreshableVersion="3" recordCount="0" supportSubquery="1" supportAdvancedDrill="1" xr:uid="{F735A91F-7699-41AD-9AF7-B8C0535FBB88}">
  <cacheSource type="external" connectionId="2"/>
  <cacheFields count="6">
    <cacheField name="[Measures].[total employee]" caption="total employee" numFmtId="0" hierarchy="34" level="32767"/>
    <cacheField name="[Measures].[total arretetion]" caption="total arretetion" numFmtId="0" hierarchy="35" level="32767"/>
    <cacheField name="[Measures].[arretetion %]" caption="arretetion %" numFmtId="0" hierarchy="36" level="32767"/>
    <cacheField name="[Measures].[current head count]" caption="current head count" numFmtId="0" hierarchy="37" level="32767"/>
    <cacheField name="[Measures].[avg monthly income]" caption="avg monthly income" numFmtId="0" hierarchy="38" level="32767"/>
    <cacheField name="[WA_Fn-UseC_-HR-Employee-Attrition].[BusinessTravel].[BusinessTravel]" caption="BusinessTravel" numFmtId="0" hierarchy="2" level="1">
      <sharedItems containsSemiMixedTypes="0" containsNonDate="0" containsString="0"/>
    </cacheField>
  </cacheFields>
  <cacheHierarchies count="41">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fieldsUsage count="2">
        <fieldUsage x="-1"/>
        <fieldUsage x="5"/>
      </fieldsUsage>
    </cacheHierarchy>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WA_Fn-UseC_-HR-Employee-Attrition].[age grp]" caption="age grp" attribute="1" defaultMemberUniqueName="[WA_Fn-UseC_-HR-Employee-Attrition].[age grp].[All]" allUniqueName="[WA_Fn-UseC_-HR-Employee-Attrition].[age grp].[All]" dimensionUniqueName="[WA_Fn-UseC_-HR-Employee-Attrition]" displayFolder="" count="0" memberValueDatatype="130" unbalanced="0"/>
    <cacheHierarchy uniqueName="[WA_Fn-UseC_-HR-Employee-Attrition].[Salary Slab]" caption="Salary Slab" attribute="1" defaultMemberUniqueName="[WA_Fn-UseC_-HR-Employee-Attrition].[Salary Slab].[All]" allUniqueName="[WA_Fn-UseC_-HR-Employee-Attrition].[Salary Slab].[All]" dimensionUniqueName="[WA_Fn-UseC_-HR-Employee-Attrition]" displayFolder="" count="0" memberValueDatatype="130" unbalanced="0"/>
    <cacheHierarchy uniqueName="[Measures].[total employee]" caption="total employee" measure="1" displayFolder="" measureGroup="WA_Fn-UseC_-HR-Employee-Attrition" count="0" oneField="1">
      <fieldsUsage count="1">
        <fieldUsage x="0"/>
      </fieldsUsage>
    </cacheHierarchy>
    <cacheHierarchy uniqueName="[Measures].[total arretetion]" caption="total arretetion" measure="1" displayFolder="" measureGroup="WA_Fn-UseC_-HR-Employee-Attrition" count="0" oneField="1">
      <fieldsUsage count="1">
        <fieldUsage x="1"/>
      </fieldsUsage>
    </cacheHierarchy>
    <cacheHierarchy uniqueName="[Measures].[arretetion %]" caption="arretetion %" measure="1" displayFolder="" measureGroup="WA_Fn-UseC_-HR-Employee-Attrition" count="0" oneField="1">
      <fieldsUsage count="1">
        <fieldUsage x="2"/>
      </fieldsUsage>
    </cacheHierarchy>
    <cacheHierarchy uniqueName="[Measures].[current head count]" caption="current head count" measure="1" displayFolder="" measureGroup="WA_Fn-UseC_-HR-Employee-Attrition" count="0" oneField="1">
      <fieldsUsage count="1">
        <fieldUsage x="3"/>
      </fieldsUsage>
    </cacheHierarchy>
    <cacheHierarchy uniqueName="[Measures].[avg monthly income]" caption="avg monthly income" measure="1" displayFolder="" measureGroup="WA_Fn-UseC_-HR-Employee-Attrition" count="0" oneField="1">
      <fieldsUsage count="1">
        <fieldUsage x="4"/>
      </fieldsUsage>
    </cacheHierarchy>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gh" refreshedDate="46191.711674305552" backgroundQuery="1" createdVersion="8" refreshedVersion="8" minRefreshableVersion="3" recordCount="0" supportSubquery="1" supportAdvancedDrill="1" xr:uid="{889B19C9-A310-4A63-9F39-498C8E84E75D}">
  <cacheSource type="external" connectionId="2"/>
  <cacheFields count="3">
    <cacheField name="[Measures].[total arretetion]" caption="total arretetion" numFmtId="0" hierarchy="35" level="32767"/>
    <cacheField name="[WA_Fn-UseC_-HR-Employee-Attrition].[Department].[Department]" caption="Department" numFmtId="0" hierarchy="4" level="1">
      <sharedItems count="3">
        <s v="Human Resources"/>
        <s v="Research &amp; Development"/>
        <s v="Sales"/>
      </sharedItems>
    </cacheField>
    <cacheField name="[WA_Fn-UseC_-HR-Employee-Attrition].[BusinessTravel].[BusinessTravel]" caption="BusinessTravel" numFmtId="0" hierarchy="2" level="1">
      <sharedItems containsSemiMixedTypes="0" containsNonDate="0" containsString="0"/>
    </cacheField>
  </cacheFields>
  <cacheHierarchies count="41">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fieldsUsage count="2">
        <fieldUsage x="-1"/>
        <fieldUsage x="2"/>
      </fieldsUsage>
    </cacheHierarchy>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1"/>
      </fieldsUsage>
    </cacheHierarchy>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WA_Fn-UseC_-HR-Employee-Attrition].[age grp]" caption="age grp" attribute="1" defaultMemberUniqueName="[WA_Fn-UseC_-HR-Employee-Attrition].[age grp].[All]" allUniqueName="[WA_Fn-UseC_-HR-Employee-Attrition].[age grp].[All]" dimensionUniqueName="[WA_Fn-UseC_-HR-Employee-Attrition]" displayFolder="" count="0" memberValueDatatype="130" unbalanced="0"/>
    <cacheHierarchy uniqueName="[WA_Fn-UseC_-HR-Employee-Attrition].[Salary Slab]" caption="Salary Slab" attribute="1" defaultMemberUniqueName="[WA_Fn-UseC_-HR-Employee-Attrition].[Salary Slab].[All]" allUniqueName="[WA_Fn-UseC_-HR-Employee-Attrition].[Salary Slab].[All]" dimensionUniqueName="[WA_Fn-UseC_-HR-Employee-Attrition]" displayFolder="" count="0" memberValueDatatype="130" unbalanced="0"/>
    <cacheHierarchy uniqueName="[Measures].[total employee]" caption="total employee" measure="1" displayFolder="" measureGroup="WA_Fn-UseC_-HR-Employee-Attrition" count="0"/>
    <cacheHierarchy uniqueName="[Measures].[total arretetion]" caption="total arretetion" measure="1" displayFolder="" measureGroup="WA_Fn-UseC_-HR-Employee-Attrition" count="0" oneField="1">
      <fieldsUsage count="1">
        <fieldUsage x="0"/>
      </fieldsUsage>
    </cacheHierarchy>
    <cacheHierarchy uniqueName="[Measures].[arretetion %]" caption="arretetion %" measure="1" displayFolder="" measureGroup="WA_Fn-UseC_-HR-Employee-Attrition" count="0"/>
    <cacheHierarchy uniqueName="[Measures].[current head count]" caption="current head count" measure="1" displayFolder="" measureGroup="WA_Fn-UseC_-HR-Employee-Attrition" count="0"/>
    <cacheHierarchy uniqueName="[Measures].[avg monthly income]" caption="avg monthly income"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gh" refreshedDate="46191.71167488426" backgroundQuery="1" createdVersion="8" refreshedVersion="8" minRefreshableVersion="3" recordCount="0" supportSubquery="1" supportAdvancedDrill="1" xr:uid="{DF90A290-A53B-4C36-A67C-3176034AD0CC}">
  <cacheSource type="external" connectionId="2"/>
  <cacheFields count="3">
    <cacheField name="[Measures].[total arretetion]" caption="total arretetion" numFmtId="0" hierarchy="35" level="32767"/>
    <cacheField name="[WA_Fn-UseC_-HR-Employee-Attrition].[Salary Slab].[Salary Slab]" caption="Salary Slab" numFmtId="0" hierarchy="33" level="1">
      <sharedItems count="4">
        <s v="10k-15k"/>
        <s v="15k&amp;Above"/>
        <s v="5k or Below"/>
        <s v="5k-10k"/>
      </sharedItems>
    </cacheField>
    <cacheField name="[WA_Fn-UseC_-HR-Employee-Attrition].[BusinessTravel].[BusinessTravel]" caption="BusinessTravel" numFmtId="0" hierarchy="2" level="1">
      <sharedItems containsSemiMixedTypes="0" containsNonDate="0" containsString="0"/>
    </cacheField>
  </cacheFields>
  <cacheHierarchies count="41">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fieldsUsage count="2">
        <fieldUsage x="-1"/>
        <fieldUsage x="2"/>
      </fieldsUsage>
    </cacheHierarchy>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WA_Fn-UseC_-HR-Employee-Attrition].[age grp]" caption="age grp" attribute="1" defaultMemberUniqueName="[WA_Fn-UseC_-HR-Employee-Attrition].[age grp].[All]" allUniqueName="[WA_Fn-UseC_-HR-Employee-Attrition].[age grp].[All]" dimensionUniqueName="[WA_Fn-UseC_-HR-Employee-Attrition]" displayFolder="" count="0" memberValueDatatype="130" unbalanced="0"/>
    <cacheHierarchy uniqueName="[WA_Fn-UseC_-HR-Employee-Attrition].[Salary Slab]" caption="Salary Slab" attribute="1" defaultMemberUniqueName="[WA_Fn-UseC_-HR-Employee-Attrition].[Salary Slab].[All]" allUniqueName="[WA_Fn-UseC_-HR-Employee-Attrition].[Salary Slab].[All]" dimensionUniqueName="[WA_Fn-UseC_-HR-Employee-Attrition]" displayFolder="" count="2" memberValueDatatype="130" unbalanced="0">
      <fieldsUsage count="2">
        <fieldUsage x="-1"/>
        <fieldUsage x="1"/>
      </fieldsUsage>
    </cacheHierarchy>
    <cacheHierarchy uniqueName="[Measures].[total employee]" caption="total employee" measure="1" displayFolder="" measureGroup="WA_Fn-UseC_-HR-Employee-Attrition" count="0"/>
    <cacheHierarchy uniqueName="[Measures].[total arretetion]" caption="total arretetion" measure="1" displayFolder="" measureGroup="WA_Fn-UseC_-HR-Employee-Attrition" count="0" oneField="1">
      <fieldsUsage count="1">
        <fieldUsage x="0"/>
      </fieldsUsage>
    </cacheHierarchy>
    <cacheHierarchy uniqueName="[Measures].[arretetion %]" caption="arretetion %" measure="1" displayFolder="" measureGroup="WA_Fn-UseC_-HR-Employee-Attrition" count="0"/>
    <cacheHierarchy uniqueName="[Measures].[current head count]" caption="current head count" measure="1" displayFolder="" measureGroup="WA_Fn-UseC_-HR-Employee-Attrition" count="0"/>
    <cacheHierarchy uniqueName="[Measures].[avg monthly income]" caption="avg monthly income"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gh" refreshedDate="46191.711675347222" backgroundQuery="1" createdVersion="8" refreshedVersion="8" minRefreshableVersion="3" recordCount="0" supportSubquery="1" supportAdvancedDrill="1" xr:uid="{4189D53D-0180-4DB3-80F3-C3A41CD99024}">
  <cacheSource type="external" connectionId="2"/>
  <cacheFields count="3">
    <cacheField name="[Measures].[total arretetion]" caption="total arretetion" numFmtId="0" hierarchy="35" level="32767"/>
    <cacheField name="[WA_Fn-UseC_-HR-Employee-Attrition].[age grp].[age grp]" caption="age grp" numFmtId="0" hierarchy="32" level="1">
      <sharedItems count="5">
        <s v="25-34"/>
        <s v="35-44"/>
        <s v="45-54"/>
        <s v="55 &amp; Above"/>
        <s v="under 25"/>
      </sharedItems>
    </cacheField>
    <cacheField name="[WA_Fn-UseC_-HR-Employee-Attrition].[BusinessTravel].[BusinessTravel]" caption="BusinessTravel" numFmtId="0" hierarchy="2" level="1">
      <sharedItems containsSemiMixedTypes="0" containsNonDate="0" containsString="0"/>
    </cacheField>
  </cacheFields>
  <cacheHierarchies count="41">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fieldsUsage count="2">
        <fieldUsage x="-1"/>
        <fieldUsage x="2"/>
      </fieldsUsage>
    </cacheHierarchy>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WA_Fn-UseC_-HR-Employee-Attrition].[age grp]" caption="age grp" attribute="1" defaultMemberUniqueName="[WA_Fn-UseC_-HR-Employee-Attrition].[age grp].[All]" allUniqueName="[WA_Fn-UseC_-HR-Employee-Attrition].[age grp].[All]" dimensionUniqueName="[WA_Fn-UseC_-HR-Employee-Attrition]" displayFolder="" count="2" memberValueDatatype="130" unbalanced="0">
      <fieldsUsage count="2">
        <fieldUsage x="-1"/>
        <fieldUsage x="1"/>
      </fieldsUsage>
    </cacheHierarchy>
    <cacheHierarchy uniqueName="[WA_Fn-UseC_-HR-Employee-Attrition].[Salary Slab]" caption="Salary Slab" attribute="1" defaultMemberUniqueName="[WA_Fn-UseC_-HR-Employee-Attrition].[Salary Slab].[All]" allUniqueName="[WA_Fn-UseC_-HR-Employee-Attrition].[Salary Slab].[All]" dimensionUniqueName="[WA_Fn-UseC_-HR-Employee-Attrition]" displayFolder="" count="0" memberValueDatatype="130" unbalanced="0"/>
    <cacheHierarchy uniqueName="[Measures].[total employee]" caption="total employee" measure="1" displayFolder="" measureGroup="WA_Fn-UseC_-HR-Employee-Attrition" count="0"/>
    <cacheHierarchy uniqueName="[Measures].[total arretetion]" caption="total arretetion" measure="1" displayFolder="" measureGroup="WA_Fn-UseC_-HR-Employee-Attrition" count="0" oneField="1">
      <fieldsUsage count="1">
        <fieldUsage x="0"/>
      </fieldsUsage>
    </cacheHierarchy>
    <cacheHierarchy uniqueName="[Measures].[arretetion %]" caption="arretetion %" measure="1" displayFolder="" measureGroup="WA_Fn-UseC_-HR-Employee-Attrition" count="0"/>
    <cacheHierarchy uniqueName="[Measures].[current head count]" caption="current head count" measure="1" displayFolder="" measureGroup="WA_Fn-UseC_-HR-Employee-Attrition" count="0"/>
    <cacheHierarchy uniqueName="[Measures].[avg monthly income]" caption="avg monthly income"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ngh" refreshedDate="46190.739674999997" backgroundQuery="1" createdVersion="3" refreshedVersion="8" minRefreshableVersion="3" recordCount="0" supportSubquery="1" supportAdvancedDrill="1" xr:uid="{9D7C0227-83FE-4213-8EF6-D19ED71C8CE6}">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0"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WA_Fn-UseC_-HR-Employee-Attrition].[age grp]" caption="age grp" attribute="1" defaultMemberUniqueName="[WA_Fn-UseC_-HR-Employee-Attrition].[age grp].[All]" allUniqueName="[WA_Fn-UseC_-HR-Employee-Attrition].[age grp].[All]" dimensionUniqueName="[WA_Fn-UseC_-HR-Employee-Attrition]" displayFolder="" count="0" memberValueDatatype="130" unbalanced="0"/>
    <cacheHierarchy uniqueName="[WA_Fn-UseC_-HR-Employee-Attrition].[Salary Slab]" caption="Salary Slab" attribute="1" defaultMemberUniqueName="[WA_Fn-UseC_-HR-Employee-Attrition].[Salary Slab].[All]" allUniqueName="[WA_Fn-UseC_-HR-Employee-Attrition].[Salary Slab].[All]" dimensionUniqueName="[WA_Fn-UseC_-HR-Employee-Attrition]" displayFolder="" count="0" memberValueDatatype="130" unbalanced="0"/>
    <cacheHierarchy uniqueName="[Measures].[total employee]" caption="total employee" measure="1" displayFolder="" measureGroup="WA_Fn-UseC_-HR-Employee-Attrition" count="0"/>
    <cacheHierarchy uniqueName="[Measures].[total arretetion]" caption="total arretetion" measure="1" displayFolder="" measureGroup="WA_Fn-UseC_-HR-Employee-Attrition" count="0"/>
    <cacheHierarchy uniqueName="[Measures].[arretetion %]" caption="arretetion %" measure="1" displayFolder="" measureGroup="WA_Fn-UseC_-HR-Employee-Attrition" count="0"/>
    <cacheHierarchy uniqueName="[Measures].[current head count]" caption="current head count" measure="1" displayFolder="" measureGroup="WA_Fn-UseC_-HR-Employee-Attrition" count="0"/>
    <cacheHierarchy uniqueName="[Measures].[avg monthly income]" caption="avg monthly income" measure="1" displayFolder="" measureGroup="WA_Fn-UseC_-HR-Employee-Attrition" count="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47575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D24EA6-69BF-4B4F-BE62-EA1BE2208DBA}" name="PivotTable3" cacheId="185" applyNumberFormats="0" applyBorderFormats="0" applyFontFormats="0" applyPatternFormats="0" applyAlignmentFormats="0" applyWidthHeightFormats="1" dataCaption="Values" tag="cb43b1f9-7db5-4360-81e1-ec6c62d90fb4" updatedVersion="8" minRefreshableVersion="3" useAutoFormatting="1" itemPrintTitles="1" createdVersion="8" indent="0" outline="1" outlineData="1" multipleFieldFilters="0" chartFormat="3" rowHeaderCaption="Salary Slab">
  <location ref="A13:B1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Attrition"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ttri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7C1877-F66B-48FE-944C-FA2C873233AE}" name="PivotTable2" cacheId="182" applyNumberFormats="0" applyBorderFormats="0" applyFontFormats="0" applyPatternFormats="0" applyAlignmentFormats="0" applyWidthHeightFormats="1" dataCaption="Values" tag="f54f47dc-b942-40dd-b7b0-d18d74092a52" updatedVersion="8" minRefreshableVersion="3" useAutoFormatting="1" itemPrintTitles="1" createdVersion="8" indent="0" outline="1" outlineData="1" multipleFieldFilters="0" chartFormat="4" rowHeaderCaption="Department">
  <location ref="G3:H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Attrition"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ttri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5E86EE-BFA2-43B0-A474-6723710D92DA}" name="PivotTable1" cacheId="179" applyNumberFormats="0" applyBorderFormats="0" applyFontFormats="0" applyPatternFormats="0" applyAlignmentFormats="0" applyWidthHeightFormats="1" dataCaption="Values" tag="87a1ffc8-e5a4-4bdb-bde7-d48bcc90f10a" updatedVersion="8" minRefreshableVersion="3" useAutoFormatting="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name="Total attrition" fld="1" subtotal="count" baseField="0" baseItem="0"/>
    <dataField name="Attrition  %" fld="2" subtotal="count" baseField="0" baseItem="0"/>
    <dataField fld="3" subtotal="count" baseField="0" baseItem="0"/>
    <dataField fld="4" subtotal="count" baseField="0" baseItem="0" numFmtId="166"/>
  </dataFields>
  <formats count="4">
    <format dxfId="3">
      <pivotArea dataOnly="0" labelOnly="1" outline="0" fieldPosition="0">
        <references count="1">
          <reference field="4294967294" count="5">
            <x v="0"/>
            <x v="1"/>
            <x v="2"/>
            <x v="3"/>
            <x v="4"/>
          </reference>
        </references>
      </pivotArea>
    </format>
    <format dxfId="2">
      <pivotArea dataOnly="0" labelOnly="1" outline="0" fieldPosition="0">
        <references count="1">
          <reference field="4294967294" count="5">
            <x v="0"/>
            <x v="1"/>
            <x v="2"/>
            <x v="3"/>
            <x v="4"/>
          </reference>
        </references>
      </pivotArea>
    </format>
    <format dxfId="1">
      <pivotArea dataOnly="0" labelOnly="1" outline="0" fieldPosition="0">
        <references count="1">
          <reference field="4294967294" count="5">
            <x v="0"/>
            <x v="1"/>
            <x v="2"/>
            <x v="3"/>
            <x v="4"/>
          </reference>
        </references>
      </pivotArea>
    </format>
    <format dxfId="0">
      <pivotArea outline="0" collapsedLevelsAreSubtotals="1" fieldPosition="0">
        <references count="1">
          <reference field="4294967294" count="1" selected="0">
            <x v="4"/>
          </reference>
        </references>
      </pivotArea>
    </format>
  </formats>
  <pivotHierarchies count="4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ttrition"/>
    <pivotHierarchy dragToRow="0" dragToCol="0" dragToPage="0" dragToData="1" caption="Attrition  %"/>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043B7F-8475-409D-BF52-EEA9BA76080E}" name="PivotTable5" cacheId="176" applyNumberFormats="0" applyBorderFormats="0" applyFontFormats="0" applyPatternFormats="0" applyAlignmentFormats="0" applyWidthHeightFormats="1" dataCaption="Values" tag="5c274d17-6822-41ec-9f21-aa656f57c97f" updatedVersion="8" minRefreshableVersion="3" useAutoFormatting="1" itemPrintTitles="1" createdVersion="8" indent="0" outline="1" outlineData="1" multipleFieldFilters="0" chartFormat="3" rowHeaderCaption="Overtime ">
  <location ref="G13:H1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Total  Attrition"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ttri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E4F1BC-8A91-4541-B2D0-E15F36A0127F}" name="PivotTable4" cacheId="188" applyNumberFormats="0" applyBorderFormats="0" applyFontFormats="0" applyPatternFormats="0" applyAlignmentFormats="0" applyWidthHeightFormats="1" dataCaption="Values" tag="6564e6ed-d759-4d4f-a816-a4e1d8011140" updatedVersion="8" minRefreshableVersion="3" useAutoFormatting="1" itemPrintTitles="1" createdVersion="8" indent="0" outline="1" outlineData="1" multipleFieldFilters="0" chartFormat="4" rowHeaderCaption="Age Group">
  <location ref="D13:E1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Attrition"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ttri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0949AEC-5DBD-4439-9D3B-861736001B83}" sourceName="[WA_Fn-UseC_-HR-Employee-Attrition].[Gender]">
  <pivotTables>
    <pivotTable tabId="1" name="PivotTable5"/>
    <pivotTable tabId="1" name="PivotTable1"/>
    <pivotTable tabId="1" name="PivotTable2"/>
    <pivotTable tabId="1" name="PivotTable3"/>
    <pivotTable tabId="1" name="PivotTable4"/>
  </pivotTables>
  <data>
    <olap pivotCacheId="114757598">
      <levels count="2">
        <level uniqueName="[WA_Fn-UseC_-HR-Employee-Attrition].[Gender].[(All)]" sourceCaption="(All)" count="0"/>
        <level uniqueName="[WA_Fn-UseC_-HR-Employee-Attrition].[Gender].[Gender]" sourceCaption="Gender" count="2">
          <ranges>
            <range startItem="0">
              <i n="[WA_Fn-UseC_-HR-Employee-Attrition].[Gender].&amp;[Female]" c="Female"/>
              <i n="[WA_Fn-UseC_-HR-Employee-Attrition].[Gender].&amp;[Male]" c="Male"/>
            </range>
          </ranges>
        </level>
      </levels>
      <selections count="1">
        <selection n="[WA_Fn-UseC_-HR-Employee-Attrition].[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23C491B6-BC65-4F23-AFB0-0F01E905EBCE}" sourceName="[WA_Fn-UseC_-HR-Employee-Attrition].[MaritalStatus]">
  <pivotTables>
    <pivotTable tabId="1" name="PivotTable5"/>
    <pivotTable tabId="1" name="PivotTable1"/>
    <pivotTable tabId="1" name="PivotTable2"/>
    <pivotTable tabId="1" name="PivotTable3"/>
    <pivotTable tabId="1" name="PivotTable4"/>
  </pivotTables>
  <data>
    <olap pivotCacheId="114757598">
      <levels count="2">
        <level uniqueName="[WA_Fn-UseC_-HR-Employee-Attrition].[MaritalStatus].[(All)]" sourceCaption="(All)" count="0"/>
        <level uniqueName="[WA_Fn-UseC_-HR-Employee-Attrition].[MaritalStatus].[MaritalStatus]" sourceCaption="MaritalStatus" count="3">
          <ranges>
            <range startItem="0">
              <i n="[WA_Fn-UseC_-HR-Employee-Attrition].[MaritalStatus].&amp;[Divorced]" c="Divorced"/>
              <i n="[WA_Fn-UseC_-HR-Employee-Attrition].[MaritalStatus].&amp;[Married]" c="Married"/>
              <i n="[WA_Fn-UseC_-HR-Employee-Attrition].[MaritalStatus].&amp;[Single]" c="Single"/>
            </range>
          </ranges>
        </level>
      </levels>
      <selections count="1">
        <selection n="[WA_Fn-UseC_-HR-Employee-Attrition].[Marital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117D5C8B-A892-40EE-BD0A-FCD124F11169}" sourceName="[WA_Fn-UseC_-HR-Employee-Attrition].[BusinessTravel]">
  <pivotTables>
    <pivotTable tabId="1" name="PivotTable5"/>
    <pivotTable tabId="1" name="PivotTable1"/>
    <pivotTable tabId="1" name="PivotTable2"/>
    <pivotTable tabId="1" name="PivotTable3"/>
    <pivotTable tabId="1" name="PivotTable4"/>
  </pivotTables>
  <data>
    <olap pivotCacheId="114757598">
      <levels count="2">
        <level uniqueName="[WA_Fn-UseC_-HR-Employee-Attrition].[BusinessTravel].[(All)]" sourceCaption="(All)" count="0"/>
        <level uniqueName="[WA_Fn-UseC_-HR-Employee-Attrition].[BusinessTravel].[BusinessTravel]" sourceCaption="BusinessTravel" count="3">
          <ranges>
            <range startItem="0">
              <i n="[WA_Fn-UseC_-HR-Employee-Attrition].[BusinessTravel].&amp;[Non-Travel]" c="Non-Travel"/>
              <i n="[WA_Fn-UseC_-HR-Employee-Attrition].[BusinessTravel].&amp;[Travel_Frequently]" c="Travel_Frequently"/>
              <i n="[WA_Fn-UseC_-HR-Employee-Attrition].[BusinessTravel].&amp;[Travel_Rarely]" c="Travel_Rarely"/>
            </range>
          </ranges>
        </level>
      </levels>
      <selections count="1">
        <selection n="[WA_Fn-UseC_-HR-Employee-Attrition].[BusinessTra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6157DBC-323D-42AC-A4CC-8BFCF0AA81FE}" cache="Slicer_Gender" caption="Gender" showCaption="0" level="1" style="Slicer Style 1" rowHeight="247650"/>
  <slicer name="MaritalStatus 1" xr10:uid="{F38AAC7E-C704-4F7B-84DB-449FF0154AF2}" cache="Slicer_MaritalStatus" caption="MaritalStatus" showCaption="0" level="1" style="Slicer Style 1" rowHeight="247650"/>
  <slicer name="BusinessTravel 1" xr10:uid="{30FFCCD4-9863-452C-89E1-8EAFA837BA27}" cache="Slicer_BusinessTravel" caption="BusinessTravel" showCaption="0"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5A07B-5DC5-4B08-B889-1B48616590A3}">
  <dimension ref="A1:O19"/>
  <sheetViews>
    <sheetView showGridLines="0" tabSelected="1" zoomScale="87" workbookViewId="0">
      <selection activeCell="E33" sqref="E33"/>
    </sheetView>
  </sheetViews>
  <sheetFormatPr defaultRowHeight="14.4" x14ac:dyDescent="0.3"/>
  <cols>
    <col min="1" max="1" width="22.21875" bestFit="1" customWidth="1"/>
    <col min="2" max="2" width="14.109375" bestFit="1" customWidth="1"/>
    <col min="3" max="3" width="11.109375" bestFit="1" customWidth="1"/>
    <col min="4" max="4" width="16.5546875" bestFit="1" customWidth="1"/>
    <col min="5" max="5" width="16.77734375" bestFit="1" customWidth="1"/>
    <col min="7" max="7" width="22.109375" bestFit="1" customWidth="1"/>
    <col min="8" max="8" width="12.21875" bestFit="1" customWidth="1"/>
  </cols>
  <sheetData>
    <row r="1" spans="1:15" ht="14.4" customHeight="1" x14ac:dyDescent="0.3">
      <c r="A1" s="14" t="s">
        <v>26</v>
      </c>
      <c r="B1" s="14"/>
      <c r="C1" s="14"/>
      <c r="D1" s="14"/>
      <c r="E1" s="14"/>
      <c r="G1" s="16" t="s">
        <v>27</v>
      </c>
      <c r="H1" s="16"/>
    </row>
    <row r="2" spans="1:15" ht="14.4" customHeight="1" x14ac:dyDescent="0.3">
      <c r="A2" s="14"/>
      <c r="B2" s="14"/>
      <c r="C2" s="14"/>
      <c r="D2" s="14"/>
      <c r="E2" s="14"/>
      <c r="G2" s="16"/>
      <c r="H2" s="16"/>
    </row>
    <row r="3" spans="1:15" x14ac:dyDescent="0.3">
      <c r="A3" s="6" t="s">
        <v>0</v>
      </c>
      <c r="B3" s="6" t="s">
        <v>25</v>
      </c>
      <c r="C3" s="6" t="s">
        <v>18</v>
      </c>
      <c r="D3" s="6" t="s">
        <v>1</v>
      </c>
      <c r="E3" s="6" t="s">
        <v>2</v>
      </c>
      <c r="G3" s="2" t="s">
        <v>19</v>
      </c>
      <c r="H3" t="s">
        <v>20</v>
      </c>
    </row>
    <row r="4" spans="1:15" x14ac:dyDescent="0.3">
      <c r="A4" s="5">
        <v>1470</v>
      </c>
      <c r="B4" s="5">
        <v>237</v>
      </c>
      <c r="C4" s="1">
        <v>0.16122448979591836</v>
      </c>
      <c r="D4" s="5">
        <v>1233</v>
      </c>
      <c r="E4" s="7">
        <v>6502.931292517007</v>
      </c>
      <c r="G4" s="3" t="s">
        <v>3</v>
      </c>
      <c r="H4" s="5">
        <v>12</v>
      </c>
    </row>
    <row r="5" spans="1:15" ht="14.4" customHeight="1" x14ac:dyDescent="0.5">
      <c r="G5" s="3" t="s">
        <v>4</v>
      </c>
      <c r="H5" s="5">
        <v>133</v>
      </c>
      <c r="K5" s="12"/>
      <c r="L5" s="12"/>
      <c r="M5" s="12"/>
      <c r="N5" s="12"/>
      <c r="O5" s="12"/>
    </row>
    <row r="6" spans="1:15" ht="14.4" customHeight="1" x14ac:dyDescent="0.5">
      <c r="A6">
        <f>GETPIVOTDATA("[Measures].[total employee]",$A$3)</f>
        <v>1470</v>
      </c>
      <c r="B6">
        <f>GETPIVOTDATA("[Measures].[total arretetion]",$A$3)</f>
        <v>237</v>
      </c>
      <c r="C6" s="4">
        <f>GETPIVOTDATA("[Measures].[arretetion %]",$A$3)</f>
        <v>0.16122448979591836</v>
      </c>
      <c r="D6">
        <f>GETPIVOTDATA("[Measures].[current head count]",$A$3)</f>
        <v>1233</v>
      </c>
      <c r="E6" s="8">
        <f>GETPIVOTDATA("[Measures].[avg monthly income]",$A$3)</f>
        <v>6502.931292517007</v>
      </c>
      <c r="G6" s="3" t="s">
        <v>5</v>
      </c>
      <c r="H6" s="5">
        <v>92</v>
      </c>
      <c r="K6" s="12"/>
      <c r="L6" s="12"/>
      <c r="M6" s="12"/>
      <c r="N6" s="12"/>
      <c r="O6" s="12"/>
    </row>
    <row r="7" spans="1:15" x14ac:dyDescent="0.3">
      <c r="G7" s="3" t="s">
        <v>6</v>
      </c>
      <c r="H7" s="5">
        <v>237</v>
      </c>
    </row>
    <row r="8" spans="1:15" x14ac:dyDescent="0.3">
      <c r="A8" s="9"/>
      <c r="B8" s="9"/>
      <c r="C8" s="9"/>
      <c r="D8" s="9"/>
      <c r="E8" s="9"/>
      <c r="F8" s="9"/>
      <c r="G8" s="10"/>
      <c r="H8" s="11"/>
      <c r="I8" s="9"/>
      <c r="J8" s="13"/>
    </row>
    <row r="9" spans="1:15" x14ac:dyDescent="0.3">
      <c r="G9" s="3"/>
      <c r="H9" s="5"/>
      <c r="J9" s="13"/>
    </row>
    <row r="10" spans="1:15" x14ac:dyDescent="0.3">
      <c r="G10" s="3"/>
      <c r="H10" s="5"/>
    </row>
    <row r="11" spans="1:15" ht="14.4" customHeight="1" x14ac:dyDescent="0.3">
      <c r="A11" s="14" t="s">
        <v>28</v>
      </c>
      <c r="B11" s="14"/>
      <c r="D11" s="14" t="s">
        <v>29</v>
      </c>
      <c r="E11" s="14"/>
      <c r="G11" s="15" t="s">
        <v>30</v>
      </c>
      <c r="H11" s="15"/>
    </row>
    <row r="12" spans="1:15" x14ac:dyDescent="0.3">
      <c r="A12" s="14"/>
      <c r="B12" s="14"/>
      <c r="D12" s="14"/>
      <c r="E12" s="14"/>
      <c r="G12" s="15"/>
      <c r="H12" s="15"/>
    </row>
    <row r="13" spans="1:15" x14ac:dyDescent="0.3">
      <c r="A13" s="2" t="s">
        <v>21</v>
      </c>
      <c r="B13" t="s">
        <v>20</v>
      </c>
      <c r="D13" s="2" t="s">
        <v>22</v>
      </c>
      <c r="E13" t="s">
        <v>20</v>
      </c>
      <c r="G13" s="2" t="s">
        <v>23</v>
      </c>
      <c r="H13" t="s">
        <v>24</v>
      </c>
    </row>
    <row r="14" spans="1:15" x14ac:dyDescent="0.3">
      <c r="A14" s="3" t="s">
        <v>7</v>
      </c>
      <c r="B14" s="5">
        <v>20</v>
      </c>
      <c r="D14" s="3" t="s">
        <v>11</v>
      </c>
      <c r="E14" s="5">
        <v>112</v>
      </c>
      <c r="G14" s="3" t="s">
        <v>16</v>
      </c>
      <c r="H14" s="5">
        <v>110</v>
      </c>
    </row>
    <row r="15" spans="1:15" x14ac:dyDescent="0.3">
      <c r="A15" s="3" t="s">
        <v>8</v>
      </c>
      <c r="B15" s="5">
        <v>5</v>
      </c>
      <c r="D15" s="3" t="s">
        <v>12</v>
      </c>
      <c r="E15" s="5">
        <v>51</v>
      </c>
      <c r="G15" s="3" t="s">
        <v>17</v>
      </c>
      <c r="H15" s="5">
        <v>127</v>
      </c>
    </row>
    <row r="16" spans="1:15" x14ac:dyDescent="0.3">
      <c r="A16" s="3" t="s">
        <v>9</v>
      </c>
      <c r="B16" s="5">
        <v>163</v>
      </c>
      <c r="D16" s="3" t="s">
        <v>13</v>
      </c>
      <c r="E16" s="5">
        <v>25</v>
      </c>
      <c r="G16" s="3" t="s">
        <v>6</v>
      </c>
      <c r="H16" s="5">
        <v>237</v>
      </c>
    </row>
    <row r="17" spans="1:5" x14ac:dyDescent="0.3">
      <c r="A17" s="3" t="s">
        <v>10</v>
      </c>
      <c r="B17" s="5">
        <v>49</v>
      </c>
      <c r="D17" s="3" t="s">
        <v>14</v>
      </c>
      <c r="E17" s="5">
        <v>11</v>
      </c>
    </row>
    <row r="18" spans="1:5" x14ac:dyDescent="0.3">
      <c r="A18" s="3" t="s">
        <v>6</v>
      </c>
      <c r="B18" s="5">
        <v>237</v>
      </c>
      <c r="D18" s="3" t="s">
        <v>15</v>
      </c>
      <c r="E18" s="5">
        <v>38</v>
      </c>
    </row>
    <row r="19" spans="1:5" x14ac:dyDescent="0.3">
      <c r="D19" s="3" t="s">
        <v>6</v>
      </c>
      <c r="E19" s="5">
        <v>237</v>
      </c>
    </row>
  </sheetData>
  <mergeCells count="5">
    <mergeCell ref="A1:E2"/>
    <mergeCell ref="G1:H2"/>
    <mergeCell ref="A11:B12"/>
    <mergeCell ref="D11:E12"/>
    <mergeCell ref="G11: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15AF6-AF63-40CA-A9C9-60C012DE874A}">
  <dimension ref="A1:A2"/>
  <sheetViews>
    <sheetView showGridLines="0" topLeftCell="A7" zoomScale="63" zoomScaleNormal="70" workbookViewId="0">
      <selection activeCell="Z20" sqref="Z20"/>
    </sheetView>
  </sheetViews>
  <sheetFormatPr defaultRowHeight="14.4" x14ac:dyDescent="0.3"/>
  <cols>
    <col min="1" max="16384" width="8.88671875" style="17"/>
  </cols>
  <sheetData>
    <row r="1" s="17" customFormat="1" x14ac:dyDescent="0.3"/>
    <row r="2" s="1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61AEBC5-B95E-4E83-B05D-D3C0D4F05798}">
  <ds:schemaRefs/>
</ds:datastoreItem>
</file>

<file path=customXml/itemProps2.xml><?xml version="1.0" encoding="utf-8"?>
<ds:datastoreItem xmlns:ds="http://schemas.openxmlformats.org/officeDocument/2006/customXml" ds:itemID="{E7E0A12A-A763-4FC8-8480-95200A70C754}">
  <ds:schemaRefs/>
</ds:datastoreItem>
</file>

<file path=customXml/itemProps3.xml><?xml version="1.0" encoding="utf-8"?>
<ds:datastoreItem xmlns:ds="http://schemas.openxmlformats.org/officeDocument/2006/customXml" ds:itemID="{AB0932AD-3139-4B9C-AA1E-0CEB28D6D9DA}">
  <ds:schemaRefs/>
</ds:datastoreItem>
</file>

<file path=customXml/itemProps4.xml><?xml version="1.0" encoding="utf-8"?>
<ds:datastoreItem xmlns:ds="http://schemas.openxmlformats.org/officeDocument/2006/customXml" ds:itemID="{3E802BBA-2D4B-4B2E-A0C6-57F74CB1F802}">
  <ds:schemaRefs/>
</ds:datastoreItem>
</file>

<file path=customXml/itemProps5.xml><?xml version="1.0" encoding="utf-8"?>
<ds:datastoreItem xmlns:ds="http://schemas.openxmlformats.org/officeDocument/2006/customXml" ds:itemID="{402231DE-5FEA-43C4-B375-9436166B5B95}">
  <ds:schemaRefs/>
</ds:datastoreItem>
</file>

<file path=customXml/itemProps6.xml><?xml version="1.0" encoding="utf-8"?>
<ds:datastoreItem xmlns:ds="http://schemas.openxmlformats.org/officeDocument/2006/customXml" ds:itemID="{9C5942FE-E6D4-41C3-AF6D-704A289DEC5C}">
  <ds:schemaRefs/>
</ds:datastoreItem>
</file>

<file path=customXml/itemProps7.xml><?xml version="1.0" encoding="utf-8"?>
<ds:datastoreItem xmlns:ds="http://schemas.openxmlformats.org/officeDocument/2006/customXml" ds:itemID="{543BA40F-86B4-4FAC-A9EF-2461018D2752}">
  <ds:schemaRefs/>
</ds:datastoreItem>
</file>

<file path=customXml/itemProps8.xml><?xml version="1.0" encoding="utf-8"?>
<ds:datastoreItem xmlns:ds="http://schemas.openxmlformats.org/officeDocument/2006/customXml" ds:itemID="{FCC3E909-1D60-4ADB-8783-781C2FDE1B88}">
  <ds:schemaRefs/>
</ds:datastoreItem>
</file>

<file path=customXml/itemProps9.xml><?xml version="1.0" encoding="utf-8"?>
<ds:datastoreItem xmlns:ds="http://schemas.openxmlformats.org/officeDocument/2006/customXml" ds:itemID="{DF2A3869-C878-4D33-A088-3A35E63BC5E6}">
  <ds:schemaRefs/>
</ds:datastoreItem>
</file>

<file path=customXml/itemProps10.xml><?xml version="1.0" encoding="utf-8"?>
<ds:datastoreItem xmlns:ds="http://schemas.openxmlformats.org/officeDocument/2006/customXml" ds:itemID="{134EB920-0F23-42E2-BCC0-51EADDCE034E}">
  <ds:schemaRefs/>
</ds:datastoreItem>
</file>

<file path=customXml/itemProps11.xml><?xml version="1.0" encoding="utf-8"?>
<ds:datastoreItem xmlns:ds="http://schemas.openxmlformats.org/officeDocument/2006/customXml" ds:itemID="{C1A5DFFB-3818-493C-B93E-A9A1A68F9708}">
  <ds:schemaRefs/>
</ds:datastoreItem>
</file>

<file path=customXml/itemProps12.xml><?xml version="1.0" encoding="utf-8"?>
<ds:datastoreItem xmlns:ds="http://schemas.openxmlformats.org/officeDocument/2006/customXml" ds:itemID="{26436E81-61F9-407B-9670-67EC723B804D}">
  <ds:schemaRefs/>
</ds:datastoreItem>
</file>

<file path=customXml/itemProps13.xml><?xml version="1.0" encoding="utf-8"?>
<ds:datastoreItem xmlns:ds="http://schemas.openxmlformats.org/officeDocument/2006/customXml" ds:itemID="{58C86AC9-F448-4C2D-9519-636AD130C4F1}">
  <ds:schemaRefs/>
</ds:datastoreItem>
</file>

<file path=customXml/itemProps14.xml><?xml version="1.0" encoding="utf-8"?>
<ds:datastoreItem xmlns:ds="http://schemas.openxmlformats.org/officeDocument/2006/customXml" ds:itemID="{A0A419F6-3DC8-4960-9B43-C30417B4291F}">
  <ds:schemaRefs/>
</ds:datastoreItem>
</file>

<file path=customXml/itemProps15.xml><?xml version="1.0" encoding="utf-8"?>
<ds:datastoreItem xmlns:ds="http://schemas.openxmlformats.org/officeDocument/2006/customXml" ds:itemID="{7C757881-37F4-4478-AC72-C0BBFF6635D9}">
  <ds:schemaRefs/>
</ds:datastoreItem>
</file>

<file path=customXml/itemProps16.xml><?xml version="1.0" encoding="utf-8"?>
<ds:datastoreItem xmlns:ds="http://schemas.openxmlformats.org/officeDocument/2006/customXml" ds:itemID="{A973503C-BE15-4DDB-A364-1B897ABD18B5}">
  <ds:schemaRefs/>
</ds:datastoreItem>
</file>

<file path=customXml/itemProps17.xml><?xml version="1.0" encoding="utf-8"?>
<ds:datastoreItem xmlns:ds="http://schemas.openxmlformats.org/officeDocument/2006/customXml" ds:itemID="{0158BAA4-81EA-449B-984D-4E058CF45114}">
  <ds:schemaRefs/>
</ds:datastoreItem>
</file>

<file path=customXml/itemProps18.xml><?xml version="1.0" encoding="utf-8"?>
<ds:datastoreItem xmlns:ds="http://schemas.openxmlformats.org/officeDocument/2006/customXml" ds:itemID="{CB669152-5FCB-4D40-B303-39BD9D96FADB}">
  <ds:schemaRefs/>
</ds:datastoreItem>
</file>

<file path=customXml/itemProps19.xml><?xml version="1.0" encoding="utf-8"?>
<ds:datastoreItem xmlns:ds="http://schemas.openxmlformats.org/officeDocument/2006/customXml" ds:itemID="{1D9395A0-9C33-4A87-86A0-FDBE50DEDF72}">
  <ds:schemaRefs/>
</ds:datastoreItem>
</file>

<file path=customXml/itemProps20.xml><?xml version="1.0" encoding="utf-8"?>
<ds:datastoreItem xmlns:ds="http://schemas.openxmlformats.org/officeDocument/2006/customXml" ds:itemID="{29CCE0F4-77EA-47AD-973B-EBC0C9CBBE09}">
  <ds:schemaRefs/>
</ds:datastoreItem>
</file>

<file path=customXml/itemProps21.xml><?xml version="1.0" encoding="utf-8"?>
<ds:datastoreItem xmlns:ds="http://schemas.openxmlformats.org/officeDocument/2006/customXml" ds:itemID="{E47D6841-FA24-4145-B2A2-B3D6DA18CF2F}">
  <ds:schemaRefs/>
</ds:datastoreItem>
</file>

<file path=customXml/itemProps22.xml><?xml version="1.0" encoding="utf-8"?>
<ds:datastoreItem xmlns:ds="http://schemas.openxmlformats.org/officeDocument/2006/customXml" ds:itemID="{3A66B80D-D235-4D29-B24A-F533ED115C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ANALYSIS&amp;CALCULATION</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Gaur</dc:creator>
  <cp:lastModifiedBy>Shivam Gaur</cp:lastModifiedBy>
  <dcterms:created xsi:type="dcterms:W3CDTF">2026-06-17T11:51:23Z</dcterms:created>
  <dcterms:modified xsi:type="dcterms:W3CDTF">2026-06-18T12:38:28Z</dcterms:modified>
</cp:coreProperties>
</file>